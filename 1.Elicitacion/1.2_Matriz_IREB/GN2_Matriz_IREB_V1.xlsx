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Ckeck LIst" sheetId="1" r:id="rId5"/>
    <sheet state="visible" name="MODELO LISTA DE COMPROBACION - " sheetId="2" r:id="rId6"/>
    <sheet state="visible" name="Hoja 2" sheetId="3" r:id="rId7"/>
    <sheet state="visible" name="Hoja 3" sheetId="4" r:id="rId8"/>
    <sheet state="visible" name="Hoja 4" sheetId="5" r:id="rId9"/>
    <sheet state="visible" name="RECOMENDACIONES 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7">
      <text>
        <t xml:space="preserve">jeny ruiz:
Control del nivel de acuedo entre las partes Cliente y Desarrollador</t>
      </text>
    </comment>
    <comment authorId="0" ref="F7">
      <text>
        <t xml:space="preserve">jeny ruiz:
La información contenida en memoria se utiliza para actualizar los campos de la base de datos.</t>
      </text>
    </comment>
    <comment authorId="0" ref="G7">
      <text>
        <t xml:space="preserve">jeny ruiz:
Control del nivel de acuedo entre las partes Cliente y Desarrollador</t>
      </text>
    </comment>
    <comment authorId="0" ref="I7">
      <text>
        <t xml:space="preserve">jeny ruiz:
Se guarda en un archivo Excel los registros que dieron un problema en la actualización.</t>
      </text>
    </comment>
    <comment authorId="0" ref="J7">
      <text>
        <t xml:space="preserve">jeny ruiz:
Control del nivel de acuedo entre las partes Cliente y Desarrollador</t>
      </text>
    </comment>
    <comment authorId="0" ref="K7">
      <text>
        <t xml:space="preserve">jeny ruiz:
jeny ruiz:
Posterior a la actualización, se guardaran automáticamente el nombre de usuario, fecha, hora, registro antiguo, registro nuevo.</t>
      </text>
    </comment>
    <comment authorId="0" ref="L7">
      <text>
        <t xml:space="preserve">jeny ruiz:
Control del nivel de acuedo entre las partes Cliente y Desarrollador</t>
      </text>
    </comment>
    <comment authorId="0" ref="M7">
      <text>
        <t xml:space="preserve">jeny ruiz:
jeny ruiz:
Posterior a la actualización, se guardaran automáticamente el nombre de usuario, fecha, hora, registro antiguo, registro nuevo.</t>
      </text>
    </comment>
    <comment authorId="0" ref="C9">
      <text>
        <t xml:space="preserve">jeny ruiz:
Todos los interesados reconocen que el  requisito es correcto y relevante
</t>
      </text>
    </comment>
    <comment authorId="0" ref="F9">
      <text>
        <t xml:space="preserve">jeny ruiz:
Es importante ingresar el archivo plano en formato excel para el cliente y el desarrollador</t>
      </text>
    </comment>
    <comment authorId="0" ref="I9">
      <text>
        <t xml:space="preserve">jeny ruiz:
Es importante ingresar el archivo plano en formato excel para el cliente y el desarrollador</t>
      </text>
    </comment>
    <comment authorId="0" ref="K9">
      <text>
        <t xml:space="preserve">jeny ruiz:
Es importante ingresar el archivo plano en formato excel para el cliente y el desarrollador</t>
      </text>
    </comment>
    <comment authorId="0" ref="M9">
      <text>
        <t xml:space="preserve">jeny ruiz:
Es importante ingresar el archivo plano en formato excel para el cliente y el desarrollador</t>
      </text>
    </comment>
    <comment authorId="0" ref="C10">
      <text>
        <t xml:space="preserve">jeny ruiz:
Ponderado por importancia o prioridad</t>
      </text>
    </comment>
    <comment authorId="0" ref="C11">
      <text>
        <t xml:space="preserve">jeny ruiz:
Todos los lectores comprenden de la misma manera, sólo una interpretación</t>
      </text>
    </comment>
    <comment authorId="0" ref="C12">
      <text>
        <t xml:space="preserve">jeny ruiz:
Toda nueva información  ha sido incorporada</t>
      </text>
    </comment>
    <comment authorId="0" ref="C13">
      <text>
        <t xml:space="preserve">jeny ruiz:
Refleja las espectativas  del implicado
</t>
      </text>
    </comment>
    <comment authorId="0" ref="C14">
      <text>
        <t xml:space="preserve">jeny ruiz:
Sin contradicciones
</t>
      </text>
    </comment>
    <comment authorId="0" ref="C15">
      <text>
        <t xml:space="preserve">jeny ruiz:
Su cumplimiento o no cumplimiento puede der probado con un esfuerzo razonable</t>
      </text>
    </comment>
    <comment authorId="0" ref="C16">
      <text>
        <t xml:space="preserve">jeny ruiz:
Puede ser implementado  y desarrollado en las condiciones actuales(tiempo, Presupuest,, orgtanizaciòn, ect)</t>
      </text>
    </comment>
    <comment authorId="0" ref="M16">
      <text>
        <t xml:space="preserve">Sigcha: Actualmente se encuentra en la fase de diseño.</t>
      </text>
    </comment>
    <comment authorId="0" ref="C17">
      <text>
        <t xml:space="preserve">jeny ruiz:
El origen del requisito y sus relaciones con otros requisitos  están claros.</t>
      </text>
    </comment>
    <comment authorId="0" ref="C18">
      <text>
        <t xml:space="preserve">jeny ruiz:
Trata todos los asuntos relevantes</t>
      </text>
    </comment>
    <comment authorId="0" ref="C19">
      <text>
        <t xml:space="preserve">jeny ruiz:
Para todos los interesados dependiendo  de la fase del proyecto podrían estar involucrados  distintos implicados,(Glosario de tèrminos)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8">
      <text>
        <t xml:space="preserve">ESPE:
COMPLETITUD DOCUMENTO</t>
      </text>
    </comment>
    <comment authorId="0" ref="B9">
      <text>
        <t xml:space="preserve">ESPE:
COMPLETITUD REQUISITO INDIVIDUAL
</t>
      </text>
    </comment>
    <comment authorId="0" ref="B10">
      <text>
        <t xml:space="preserve">ESPE:
TRAZABILIDAD</t>
      </text>
    </comment>
    <comment authorId="0" ref="B11">
      <text>
        <t xml:space="preserve">ESPE:
trazabilidad
</t>
      </text>
    </comment>
    <comment authorId="0" ref="B12">
      <text>
        <t xml:space="preserve">ESPE:
TRAZABILIDAD
</t>
      </text>
    </comment>
    <comment authorId="0" ref="B13">
      <text>
        <t xml:space="preserve">ESPE:
CORRECCION
</t>
      </text>
    </comment>
    <comment authorId="0" ref="B14">
      <text>
        <t xml:space="preserve">ESPE:
CONSISTENCIA</t>
      </text>
    </comment>
    <comment authorId="0" ref="B15">
      <text>
        <t xml:space="preserve">ESPE:
NECESIDAD
</t>
      </text>
    </comment>
    <comment authorId="0" ref="B16">
      <text>
        <t xml:space="preserve">ESPE:
verificable 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8">
      <text>
        <t xml:space="preserve">ESPE:
COMPLETITUD DOCUMENTO</t>
      </text>
    </comment>
    <comment authorId="0" ref="B9">
      <text>
        <t xml:space="preserve">ESPE:
COMPLETITUD REQUISITO INDIVIDUAL
</t>
      </text>
    </comment>
    <comment authorId="0" ref="B10">
      <text>
        <t xml:space="preserve">ESPE:
TRAZABILIDAD</t>
      </text>
    </comment>
    <comment authorId="0" ref="B11">
      <text>
        <t xml:space="preserve">ESPE:
trazabilidad
</t>
      </text>
    </comment>
    <comment authorId="0" ref="B12">
      <text>
        <t xml:space="preserve">ESPE:
TRAZABILIDAD
</t>
      </text>
    </comment>
    <comment authorId="0" ref="B13">
      <text>
        <t xml:space="preserve">ESPE:
CORRECCION
</t>
      </text>
    </comment>
    <comment authorId="0" ref="B14">
      <text>
        <t xml:space="preserve">ESPE:
CONSISTENCIA</t>
      </text>
    </comment>
    <comment authorId="0" ref="B15">
      <text>
        <t xml:space="preserve">ESPE:
NECESIDAD
</t>
      </text>
    </comment>
    <comment authorId="0" ref="B16">
      <text>
        <t xml:space="preserve">ESPE:
verificable 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8">
      <text>
        <t xml:space="preserve">ESPE:
COMPLETITUD DOCUMENTO</t>
      </text>
    </comment>
    <comment authorId="0" ref="B9">
      <text>
        <t xml:space="preserve">ESPE:
COMPLETITUD REQUISITO INDIVIDUAL
</t>
      </text>
    </comment>
    <comment authorId="0" ref="B10">
      <text>
        <t xml:space="preserve">ESPE:
TRAZABILIDAD</t>
      </text>
    </comment>
    <comment authorId="0" ref="B11">
      <text>
        <t xml:space="preserve">ESPE:
trazabilidad
</t>
      </text>
    </comment>
    <comment authorId="0" ref="B12">
      <text>
        <t xml:space="preserve">ESPE:
TRAZABILIDAD
</t>
      </text>
    </comment>
    <comment authorId="0" ref="B13">
      <text>
        <t xml:space="preserve">ESPE:
CORRECCION
</t>
      </text>
    </comment>
    <comment authorId="0" ref="B14">
      <text>
        <t xml:space="preserve">ESPE:
CONSISTENCIA</t>
      </text>
    </comment>
    <comment authorId="0" ref="B15">
      <text>
        <t xml:space="preserve">ESPE:
NECESIDAD
</t>
      </text>
    </comment>
    <comment authorId="0" ref="B16">
      <text>
        <t xml:space="preserve">ESPE:
verificable 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8">
      <text>
        <t xml:space="preserve">ESPE:
COMPLETITUD DOCUMENTO</t>
      </text>
    </comment>
    <comment authorId="0" ref="B9">
      <text>
        <t xml:space="preserve">ESPE:
COMPLETITUD REQUISITO INDIVIDUAL
</t>
      </text>
    </comment>
    <comment authorId="0" ref="B10">
      <text>
        <t xml:space="preserve">ESPE:
TRAZABILIDAD</t>
      </text>
    </comment>
    <comment authorId="0" ref="B11">
      <text>
        <t xml:space="preserve">ESPE:
trazabilidad
</t>
      </text>
    </comment>
    <comment authorId="0" ref="B12">
      <text>
        <t xml:space="preserve">ESPE:
TRAZABILIDAD
</t>
      </text>
    </comment>
    <comment authorId="0" ref="B13">
      <text>
        <t xml:space="preserve">ESPE:
CORRECCION
</t>
      </text>
    </comment>
    <comment authorId="0" ref="B14">
      <text>
        <t xml:space="preserve">ESPE:
CONSISTENCIA</t>
      </text>
    </comment>
    <comment authorId="0" ref="B15">
      <text>
        <t xml:space="preserve">ESPE:
NECESIDAD
</t>
      </text>
    </comment>
    <comment authorId="0" ref="B16">
      <text>
        <t xml:space="preserve">ESPE:
verificable 
</t>
      </text>
    </comment>
  </commentList>
</comments>
</file>

<file path=xl/sharedStrings.xml><?xml version="1.0" encoding="utf-8"?>
<sst xmlns="http://schemas.openxmlformats.org/spreadsheetml/2006/main" count="402" uniqueCount="127">
  <si>
    <t>MATRIZ PARA COMPROBACIÓN REQUERIMIENTOS DE CALIDAD DE PROYECTO ACADEMICO</t>
  </si>
  <si>
    <t>SISTEMA:</t>
  </si>
  <si>
    <t>SISTEMA DE GESTION DE GIMNASIO (IRONCLAD BOX)</t>
  </si>
  <si>
    <t>Requerimientos  Funcionales</t>
  </si>
  <si>
    <t>Nº</t>
  </si>
  <si>
    <t>CRITERIOS DE CALIDAD (Documento/Requerimientos)</t>
  </si>
  <si>
    <t>Status
Nivel de Acuerdo</t>
  </si>
  <si>
    <t>CUC-ADM-01  Administrar la agenda de clases</t>
  </si>
  <si>
    <t xml:space="preserve">CUC-ADM-02
Gestionar Membresías y Pagos
</t>
  </si>
  <si>
    <t>CUC-ADM-03
Gestionar Usuarios del Sistema</t>
  </si>
  <si>
    <t>CUC-ADM-04 Configurar Integraciones con Apps de Salud</t>
  </si>
  <si>
    <t>Agreed</t>
  </si>
  <si>
    <t>OK</t>
  </si>
  <si>
    <t>1. Videoconferencia de la entrevista
2. Minuta de la entrevista
3. Aceptación por videoconferencia</t>
  </si>
  <si>
    <t>Ranked</t>
  </si>
  <si>
    <t>1. En la descripción del caso de Uso se especifica la prioridad Alta</t>
  </si>
  <si>
    <t>1. En la descripción del caso de Uso se especifica la prioridad Media-Alta</t>
  </si>
  <si>
    <t>1. El requisito está ponderado con una prioridad de nivel "Media".</t>
  </si>
  <si>
    <t>Unambiguos</t>
  </si>
  <si>
    <t xml:space="preserve">1.  El flujo normal y alternativo están descritos sin ambigüedad: crear, editar, asignar entrenador, guardar. No hay términos confusos. </t>
  </si>
  <si>
    <t xml:space="preserve">1.  Redacción en lenguaje claro.                                                                               2. El tutor y el equipo interpretan de igual manera el caso de uso </t>
  </si>
  <si>
    <t>NOK</t>
  </si>
  <si>
    <t>1.Inconsistencia de Alcance: El RF-ADM-03 de la ERS solo menciona gestionar "entrenadores y atletas" , mientras que el CUC-ADM-03 incluye también "administradores". Esto genera una contradicción grave sobre quién puede ser gestionado.</t>
  </si>
  <si>
    <t>1. La descripción técnica de configurar credenciales API y definir datos a sincronizar permite una única interpretación para el equipo de desarrollo.</t>
  </si>
  <si>
    <t>Valid and up-to date</t>
  </si>
  <si>
    <t>1. Corresponde a la versión actual del documento, refleja necesidades actuales del gimnasio y cambios que el cliente pide.</t>
  </si>
  <si>
    <t>1. Toda nueva información ha sido incorporada, se han incorporado los últimos cambios pedidos luego del feedback realizado por el cliente</t>
  </si>
  <si>
    <t>1. Atiende la necesidad crítica de control de personal y seguridad del sistema mencionada en la problemática.</t>
  </si>
  <si>
    <t>1. Incorpora información actual sobre las APIs de Google Fit, Apple y Samsung Health, incluyendo sus restricciones de estabilidad.</t>
  </si>
  <si>
    <t>Correct</t>
  </si>
  <si>
    <t>1. Coincide con los requisitos funcionales del módulo de administración.</t>
  </si>
  <si>
    <t>1. Está alineado con los objetivos del sistema.                                                                                                                                                                                                                        2. Refleja lo que realmente necesita el cliente.</t>
  </si>
  <si>
    <t>1. Refleja la necesidad del cliente de centralizar la administración de cuentas de administradores, entrenadores y atletas.</t>
  </si>
  <si>
    <t>1. Refleja la expectativa del cliente de automatizar la recolección de datos de salud de los atletas para mejorar el seguimiento.</t>
  </si>
  <si>
    <t>Consistent</t>
  </si>
  <si>
    <t xml:space="preserve">1. Documentación basada en modelos: Diagrama de Casos de Uso
2. Usa términos definidos previamente.                                             </t>
  </si>
  <si>
    <t>1. Inconsistencia terminológica: La ERS usa "Altas/Bajas" y "CRUD". El caso de uso usa "Dar de baja" y "Desactivar". No hay un lenguaje unificado.</t>
  </si>
  <si>
    <t>1. No presenta contradicciones con otros requisitos y utiliza la terminología estándar definida en el glosario del sistema.</t>
  </si>
  <si>
    <t>Verifiable</t>
  </si>
  <si>
    <t>1. Requisito Medible                                                           2.  Falta Casos de Prueba</t>
  </si>
  <si>
    <t>1. Requisito Medible.
2. Falta Casos de Prueba.</t>
  </si>
  <si>
    <t>1. Falta incluir los casos de prueba específicos que demuestren el cumplimiento del requisito con un esfuerzo razonable.</t>
  </si>
  <si>
    <t>Realizable</t>
  </si>
  <si>
    <t>1. Funcionalidad contemplada en la estimación de costos.
2. No se ha desarrollado aún (fase de diseño de requerimientos).</t>
  </si>
  <si>
    <t>1. La funcionalidad aún no ha sido implementada/desarrollada en las condiciones actuales.</t>
  </si>
  <si>
    <t>Traceable</t>
  </si>
  <si>
    <t>1. Es claro el origen del requisito y sus relaciones con otros requisitos 
2. Cuenta con un identificador único</t>
  </si>
  <si>
    <t>1. Es claro el origen del requisito y sus relaciones con otros requisitos (matriz de trazabilidad cliente/casos de uso y casos de uso/casos de uso) 
2. Cuenta con un identificador único</t>
  </si>
  <si>
    <t>1. Cuenta con identificador único CUC-ADM-03.
2. El ID CUC-ADM-03 es rastreable al RF-ADM-03 de la SRS.</t>
  </si>
  <si>
    <t>1. Tiene un origen claro vinculado al objetivo de seguimiento de atletas y posee el identificador único CUC-ADM-04.</t>
  </si>
  <si>
    <t>Complete</t>
  </si>
  <si>
    <t>1. Contiene toda la información necesaria (entradas, salidas, precondiciones, postcondiciones) para entender y diseñar la función. 
2. Describe completamente la funcionalidad esperada.</t>
  </si>
  <si>
    <t>1. Falta flujo de búsqueda: No describe cómo el administrador localiza a un usuario específico en una lista potencialmente grande para editarlo o desactivarlo.</t>
  </si>
  <si>
    <t>1. Trata todos los asuntos relevantes del requisito: entradas (credenciales), procesos (configuración) y salidas (sincronización activa).</t>
  </si>
  <si>
    <t>Understandability</t>
  </si>
  <si>
    <t>1. Se involucra al cliente
2. Existe glosario de términos</t>
  </si>
  <si>
    <t>1. El flujo de pasos (del 1 al 6) es sencillo y fácil de entender para el equipo de desarrollo y el cliente.</t>
  </si>
  <si>
    <t>Sistema De Gestión De Gimnasio (IronClad Box)</t>
  </si>
  <si>
    <t>FECHA:</t>
  </si>
  <si>
    <t>AUTOR:</t>
  </si>
  <si>
    <t>Josue Solano</t>
  </si>
  <si>
    <t>REQUERIMIENTOS EVALUADOS :</t>
  </si>
  <si>
    <t>CONTENIDO</t>
  </si>
  <si>
    <t>No.</t>
  </si>
  <si>
    <t>Pregunta</t>
  </si>
  <si>
    <t>SI</t>
  </si>
  <si>
    <t xml:space="preserve">NO </t>
  </si>
  <si>
    <t>Todos los requerimientos relevantes se han documentado?</t>
  </si>
  <si>
    <t>X</t>
  </si>
  <si>
    <t>Se han implementado las funciones requeridas?</t>
  </si>
  <si>
    <t xml:space="preserve"> Existe algún mecanismo que permita seguir el impacto de dicho requerimiento a lo largo del resto de las actividades del ciclo productivo.?</t>
  </si>
  <si>
    <t>El origen de cada requerimento individual está claro ?</t>
  </si>
  <si>
    <t>Que tan facil es devolverse a los requerimientos?</t>
  </si>
  <si>
    <t xml:space="preserve"> Los requerimientos reflejan las necesidades y deseos del cliente?</t>
  </si>
  <si>
    <t>No hay contradicciones entre los requerimientos?</t>
  </si>
  <si>
    <t>El requerimiento que se esta especificando contribuye a alcanzar un objetivo definido ?</t>
  </si>
  <si>
    <t>Existe un proceso acotado (en plazo y presupuesto) que permita determinar que el sistema construido satisface lo descrito en el propio requerimiento?</t>
  </si>
  <si>
    <t>SUMATORIA:</t>
  </si>
  <si>
    <t>PORCENTAJE :</t>
  </si>
  <si>
    <t>DOCUMENTACIÓN</t>
  </si>
  <si>
    <t>Aplica un estandar para la documetación de requerimiento?</t>
  </si>
  <si>
    <t>Cumple con la estructura definida por el estandar?</t>
  </si>
  <si>
    <t>Utiliza un Glosario de términos normalizado?</t>
  </si>
  <si>
    <t>Los requerimientos Funcionales estan sujetos a una única interpretación?</t>
  </si>
  <si>
    <t>El modelo aplicado cumple con la sintaxis?</t>
  </si>
  <si>
    <t>NIVEL DE ACUERDO</t>
  </si>
  <si>
    <t>Todos los requerimientos  han sido acordados con todos los interesados?</t>
  </si>
  <si>
    <t>Todos los requerimientos  modificados han sido acordados por todos los implicados?</t>
  </si>
  <si>
    <t>Han sido resueltos todos los conflictos conocidos respectos de los requerimientos?</t>
  </si>
  <si>
    <t>RESUMEN</t>
  </si>
  <si>
    <t xml:space="preserve">CONTENIDO </t>
  </si>
  <si>
    <t>Sistema De Gestión De Gimnasio (IronCladBox)</t>
  </si>
  <si>
    <t>Alexander Toapanta</t>
  </si>
  <si>
    <t>CUC-ADM-02 
Gestionar Membresías y Pagos</t>
  </si>
  <si>
    <t>x</t>
  </si>
  <si>
    <t>Julio Blacio</t>
  </si>
  <si>
    <t xml:space="preserve">CUC-ADM-03
Gestionar Usuarios del Sistema
</t>
  </si>
  <si>
    <t>Kenned Sigcha</t>
  </si>
  <si>
    <t>CUC-ADM-04 
Gestionar Membresías y Pagos</t>
  </si>
  <si>
    <t>PREGUNTA</t>
  </si>
  <si>
    <t>RECOMENDACIÓN</t>
  </si>
  <si>
    <t>¿Se ha generado una minuta oficial por cada videoconferencia de descubrimiento con tutor, cliente (dueño del gimnasio) y equipo?</t>
  </si>
  <si>
    <t>Crear una plantilla con: fecha, asistentes, temas tratados, acuerdos y pendientes (ej. DocuSign, Google Forms con acuse).</t>
  </si>
  <si>
    <t xml:space="preserve">CUC-ADM-01
</t>
  </si>
  <si>
    <t>¿Existe un procedimiento de objeción o cambio posterior a la firma?</t>
  </si>
  <si>
    <t>Adjuntar una tabla donde cada cambio solicitado quede documentado con fecha, responsable y aprobación.</t>
  </si>
  <si>
    <t>¿Se ha definido el comportamiento del sistema cuando una membresía vence
 un fin de semana o feriado?</t>
  </si>
  <si>
    <t>Establecer regla de negocio explícita en la minuta:
 "Si el vencimiento cae en día no laborable, el sistema 
extenderá automáticamente el acceso hasta el siguiente día 
hábil a las 23:59 sin penalización.</t>
  </si>
  <si>
    <t xml:space="preserve">CUC-ADM-02
</t>
  </si>
  <si>
    <t>¿Se ha especificado un límite de tiempo para que el administrador
 pueda corregir un pago registrado por error?</t>
  </si>
  <si>
    <t>Agregar excepción: "Ventana de anulación de 5 minutos. 
Pasado ese tiempo, el pago erróneo deberá gestionarse como 
Nota de Crédito manual con justificación obligatoria y
 aprobación de segundo administrador.</t>
  </si>
  <si>
    <t>¿Se ha contemplado un mecanismo de respaldo si 
el Sistema de Pagos (Secundary Actor) está fuera de línea?</t>
  </si>
  <si>
    <t>Incluir en Restricciones: 
"Modo Offline para registro de efectivo 
con sincronización diferida. 
Si la pasarela falla, el sistema notificará 
'Pago Pendiente de Confirmación Bancaria' y 
no activará la membresía hasta verificación automática.</t>
  </si>
  <si>
    <t>¿El Caso de Uso contempla funcionalidades de búsqueda y filtrado indispensables para el volumen de datos previsto?</t>
  </si>
  <si>
    <t>Incorporar un paso de búsqueda y filtrado en el flujo de edición de usuarios, dado que el sistema debe gestionar de manera eficiente a más de 200 atletas y el flujo actual solo menciona "seleccionar de la lista".</t>
  </si>
  <si>
    <t xml:space="preserve">CUC-ADM-03
</t>
  </si>
  <si>
    <t>¿Se han incluido los casos de prueba necesarios para validar las restricciones de seguridad mencionadas?</t>
  </si>
  <si>
    <t>Elaborar una sección de Casos de Prueba específicos que verifiquen las excepciones detalladas, como el "Intento de auto-eliminación" o el "Error al enviar email de activación".</t>
  </si>
  <si>
    <t>¿Coincide el nivel de prioridad entre la matriz de requerimientos funcionales y el detalle individual del Caso de Uso?</t>
  </si>
  <si>
    <t>Sincronizar la prioridad del CUC-ADM-03 (registrada como "Media-Alta") para que sea "Alta", alineándose estrictamente con lo establecido para el requerimiento RF-ADM-03 en la tabla de la ERS.</t>
  </si>
  <si>
    <t>¿Se han implementado las funciones requeridas?</t>
  </si>
  <si>
    <t>Establecer un cronograma de desarrollo para el módulo de integraciones (API) y realizar una prueba de concepto (PoC) inicial con Google Fit para asegurar la viabilidad técnica antes de la fase de construcción.</t>
  </si>
  <si>
    <t xml:space="preserve">CUC-ADM-04
</t>
  </si>
  <si>
    <t>¿Existe algún mecanismo que permita seguir el impacto del requerimiento?</t>
  </si>
  <si>
    <t>Crear una Matriz de Trazabilidad de Requisitos que vincule el CUC-ADM-04 con los casos de prueba y los componentes de código, permitiendo evaluar el impacto ante cambios en las APIs de terceros (Samsung, Apple, Google).</t>
  </si>
  <si>
    <t>¿Existe un proceso acotado que permita determinar que el sistema satisface lo descrito?</t>
  </si>
  <si>
    <t>Diseñar e incluir en la documentación un Plan de Pruebas de Integración que detalle los criterios de aceptación (ej: sincronización exitosa de pasos y frecuencia cardíaca en menos de 5 segundos).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</si>
</sst>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1.0"/>
      <color theme="1"/>
      <name val="Calibri"/>
      <scheme val="minor"/>
    </font>
    <font>
      <sz val="8.0"/>
      <color theme="1"/>
      <name val="Arial"/>
    </font>
    <font>
      <b/>
      <sz val="18.0"/>
      <color rgb="FF1F497D"/>
      <name val="Calibri"/>
    </font>
    <font>
      <b/>
      <sz val="18.0"/>
      <color theme="1"/>
      <name val="Calibri"/>
    </font>
    <font>
      <b/>
      <sz val="18.0"/>
      <color theme="1"/>
      <name val="Arial"/>
    </font>
    <font/>
    <font>
      <b/>
      <sz val="12.0"/>
      <color theme="1"/>
      <name val="Arial"/>
    </font>
    <font>
      <b/>
      <sz val="11.0"/>
      <color theme="1"/>
      <name val="Arial"/>
    </font>
    <font>
      <sz val="11.0"/>
      <color theme="1"/>
      <name val="Calibri"/>
    </font>
    <font>
      <b/>
      <sz val="16.0"/>
      <color theme="0"/>
      <name val="Calibri"/>
    </font>
    <font>
      <b/>
      <sz val="16.0"/>
      <color theme="1"/>
      <name val="Calibri"/>
    </font>
    <font>
      <b/>
      <sz val="12.0"/>
      <color rgb="FFFFFFFF"/>
      <name val="Calibri"/>
    </font>
    <font>
      <b/>
      <sz val="16.0"/>
      <color rgb="FFFFFFFF"/>
      <name val="Calibri"/>
    </font>
    <font>
      <b/>
      <sz val="14.0"/>
      <color theme="1"/>
      <name val="Calibri"/>
    </font>
    <font>
      <sz val="14.0"/>
      <color theme="1"/>
      <name val="Calibri"/>
    </font>
    <font>
      <b/>
      <sz val="18.0"/>
      <color rgb="FFFA7D00"/>
      <name val="Calibri"/>
    </font>
    <font>
      <b/>
      <sz val="11.0"/>
      <color theme="1"/>
      <name val="Calibri"/>
    </font>
    <font>
      <b/>
      <sz val="11.0"/>
      <color theme="0"/>
      <name val="Calibri"/>
    </font>
    <font>
      <color rgb="FFFF0000"/>
      <name val="Calibri"/>
      <scheme val="minor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B8CCE4"/>
        <bgColor rgb="FFB8CCE4"/>
      </patternFill>
    </fill>
    <fill>
      <patternFill patternType="solid">
        <fgColor rgb="FFC2D69B"/>
        <bgColor rgb="FFC2D69B"/>
      </patternFill>
    </fill>
  </fills>
  <borders count="1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1" fillId="2" fontId="4" numFmtId="0" xfId="0" applyAlignment="1" applyBorder="1" applyFill="1" applyFont="1">
      <alignment horizontal="center" vertical="center"/>
    </xf>
    <xf borderId="2" fillId="0" fontId="5" numFmtId="0" xfId="0" applyBorder="1" applyFont="1"/>
    <xf borderId="3" fillId="0" fontId="5" numFmtId="0" xfId="0" applyBorder="1" applyFont="1"/>
    <xf borderId="4" fillId="2" fontId="6" numFmtId="0" xfId="0" applyAlignment="1" applyBorder="1" applyFont="1">
      <alignment horizontal="center" shrinkToFit="0" vertical="center" wrapText="1"/>
    </xf>
    <xf borderId="5" fillId="2" fontId="6" numFmtId="0" xfId="0" applyAlignment="1" applyBorder="1" applyFont="1">
      <alignment horizontal="center" shrinkToFit="0" vertical="center" wrapText="1"/>
    </xf>
    <xf borderId="6" fillId="0" fontId="5" numFmtId="0" xfId="0" applyBorder="1" applyFont="1"/>
    <xf borderId="4" fillId="2" fontId="7" numFmtId="0" xfId="0" applyAlignment="1" applyBorder="1" applyFont="1">
      <alignment horizontal="center" shrinkToFit="0" vertical="center" wrapText="1"/>
    </xf>
    <xf borderId="4" fillId="2" fontId="6" numFmtId="0" xfId="0" applyAlignment="1" applyBorder="1" applyFont="1">
      <alignment horizontal="center" readingOrder="0" shrinkToFit="0" vertical="center" wrapText="1"/>
    </xf>
    <xf borderId="7" fillId="0" fontId="8" numFmtId="0" xfId="0" applyBorder="1" applyFont="1"/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3" fontId="9" numFmtId="0" xfId="0" applyAlignment="1" applyBorder="1" applyFill="1" applyFont="1">
      <alignment horizontal="center" shrinkToFit="0" vertical="center" wrapText="1"/>
    </xf>
    <xf borderId="1" fillId="3" fontId="9" numFmtId="0" xfId="0" applyAlignment="1" applyBorder="1" applyFont="1">
      <alignment horizontal="center" shrinkToFit="0" vertical="center" wrapText="1"/>
    </xf>
    <xf borderId="7" fillId="4" fontId="10" numFmtId="0" xfId="0" applyAlignment="1" applyBorder="1" applyFill="1" applyFont="1">
      <alignment horizontal="center" shrinkToFit="0" vertical="center" wrapText="1"/>
    </xf>
    <xf borderId="12" fillId="3" fontId="11" numFmtId="0" xfId="0" applyAlignment="1" applyBorder="1" applyFont="1">
      <alignment horizontal="left" shrinkToFit="0" vertical="center" wrapText="1"/>
    </xf>
    <xf borderId="7" fillId="4" fontId="10" numFmtId="0" xfId="0" applyAlignment="1" applyBorder="1" applyFont="1">
      <alignment horizontal="center" readingOrder="0" shrinkToFit="0" vertical="center" wrapText="1"/>
    </xf>
    <xf borderId="0" fillId="0" fontId="8" numFmtId="0" xfId="0" applyFont="1"/>
    <xf borderId="7" fillId="3" fontId="11" numFmtId="0" xfId="0" applyAlignment="1" applyBorder="1" applyFont="1">
      <alignment shrinkToFit="0" vertical="center" wrapText="1"/>
    </xf>
    <xf borderId="7" fillId="3" fontId="11" numFmtId="0" xfId="0" applyAlignment="1" applyBorder="1" applyFont="1">
      <alignment readingOrder="0" shrinkToFit="0" vertical="center" wrapText="1"/>
    </xf>
    <xf borderId="7" fillId="5" fontId="10" numFmtId="0" xfId="0" applyAlignment="1" applyBorder="1" applyFill="1" applyFont="1">
      <alignment horizontal="center" readingOrder="0" shrinkToFit="0" vertical="center" wrapText="1"/>
    </xf>
    <xf borderId="7" fillId="3" fontId="11" numFmtId="0" xfId="0" applyAlignment="1" applyBorder="1" applyFont="1">
      <alignment horizontal="left" readingOrder="0" shrinkToFit="0" vertical="center" wrapText="1"/>
    </xf>
    <xf borderId="7" fillId="3" fontId="11" numFmtId="0" xfId="0" applyAlignment="1" applyBorder="1" applyFont="1">
      <alignment horizontal="left" shrinkToFit="0" vertical="center" wrapText="1"/>
    </xf>
    <xf borderId="1" fillId="3" fontId="12" numFmtId="0" xfId="0" applyAlignment="1" applyBorder="1" applyFont="1">
      <alignment horizontal="center" readingOrder="0" shrinkToFit="0" vertical="center" wrapText="1"/>
    </xf>
    <xf borderId="7" fillId="5" fontId="10" numFmtId="0" xfId="0" applyAlignment="1" applyBorder="1" applyFont="1">
      <alignment horizontal="center" shrinkToFit="0" vertical="center" wrapText="1"/>
    </xf>
    <xf borderId="13" fillId="3" fontId="11" numFmtId="0" xfId="0" applyAlignment="1" applyBorder="1" applyFont="1">
      <alignment horizontal="left" readingOrder="0" shrinkToFit="0" vertical="center" wrapText="1"/>
    </xf>
    <xf borderId="13" fillId="3" fontId="11" numFmtId="0" xfId="0" applyAlignment="1" applyBorder="1" applyFont="1">
      <alignment horizontal="left" shrinkToFit="0" vertical="center" wrapText="1"/>
    </xf>
    <xf borderId="0" fillId="0" fontId="8" numFmtId="0" xfId="0" applyAlignment="1" applyFont="1">
      <alignment vertical="top"/>
    </xf>
    <xf borderId="0" fillId="0" fontId="13" numFmtId="0" xfId="0" applyAlignment="1" applyFont="1">
      <alignment horizontal="left" vertical="top"/>
    </xf>
    <xf borderId="0" fillId="0" fontId="14" numFmtId="0" xfId="0" applyAlignment="1" applyFont="1">
      <alignment horizontal="left" readingOrder="0" shrinkToFit="0" vertical="top" wrapText="1"/>
    </xf>
    <xf borderId="0" fillId="0" fontId="13" numFmtId="0" xfId="0" applyAlignment="1" applyFont="1">
      <alignment horizontal="left"/>
    </xf>
    <xf borderId="0" fillId="0" fontId="14" numFmtId="15" xfId="0" applyAlignment="1" applyFont="1" applyNumberFormat="1">
      <alignment horizontal="left" readingOrder="0" shrinkToFit="0" wrapText="1"/>
    </xf>
    <xf borderId="0" fillId="0" fontId="14" numFmtId="0" xfId="0" applyAlignment="1" applyFont="1">
      <alignment horizontal="left" readingOrder="0" shrinkToFit="0" wrapText="1"/>
    </xf>
    <xf borderId="0" fillId="0" fontId="15" numFmtId="0" xfId="0" applyAlignment="1" applyFont="1">
      <alignment horizontal="center" vertical="center"/>
    </xf>
    <xf borderId="12" fillId="6" fontId="14" numFmtId="0" xfId="0" applyAlignment="1" applyBorder="1" applyFill="1" applyFont="1">
      <alignment horizontal="center" vertical="center"/>
    </xf>
    <xf borderId="14" fillId="6" fontId="14" numFmtId="0" xfId="0" applyAlignment="1" applyBorder="1" applyFont="1">
      <alignment horizontal="center" vertical="center"/>
    </xf>
    <xf borderId="15" fillId="6" fontId="14" numFmtId="0" xfId="0" applyAlignment="1" applyBorder="1" applyFont="1">
      <alignment horizontal="center" vertical="center"/>
    </xf>
    <xf borderId="3" fillId="0" fontId="8" numFmtId="0" xfId="0" applyAlignment="1" applyBorder="1" applyFont="1">
      <alignment horizontal="center" vertical="center"/>
    </xf>
    <xf borderId="7" fillId="0" fontId="8" numFmtId="0" xfId="0" applyAlignment="1" applyBorder="1" applyFont="1">
      <alignment shrinkToFit="0" wrapText="1"/>
    </xf>
    <xf borderId="7" fillId="0" fontId="8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vertical="center"/>
    </xf>
    <xf borderId="1" fillId="0" fontId="16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readingOrder="0" vertical="center"/>
    </xf>
    <xf borderId="6" fillId="0" fontId="8" numFmtId="0" xfId="0" applyAlignment="1" applyBorder="1" applyFont="1">
      <alignment horizontal="center" vertical="center"/>
    </xf>
    <xf borderId="4" fillId="0" fontId="8" numFmtId="0" xfId="0" applyAlignment="1" applyBorder="1" applyFont="1">
      <alignment shrinkToFit="0" wrapText="1"/>
    </xf>
    <xf borderId="4" fillId="0" fontId="8" numFmtId="0" xfId="0" applyAlignment="1" applyBorder="1" applyFont="1">
      <alignment horizontal="center" vertical="center"/>
    </xf>
    <xf borderId="0" fillId="0" fontId="13" numFmtId="0" xfId="0" applyAlignment="1" applyFont="1">
      <alignment horizontal="left" vertical="center"/>
    </xf>
    <xf borderId="0" fillId="0" fontId="8" numFmtId="9" xfId="0" applyFont="1" applyNumberFormat="1"/>
    <xf borderId="16" fillId="0" fontId="15" numFmtId="0" xfId="0" applyAlignment="1" applyBorder="1" applyFont="1">
      <alignment horizontal="center" vertical="center"/>
    </xf>
    <xf borderId="16" fillId="0" fontId="5" numFmtId="0" xfId="0" applyBorder="1" applyFont="1"/>
    <xf borderId="10" fillId="0" fontId="13" numFmtId="0" xfId="0" applyAlignment="1" applyBorder="1" applyFont="1">
      <alignment horizontal="center" vertical="center"/>
    </xf>
    <xf borderId="8" fillId="0" fontId="13" numFmtId="0" xfId="0" applyAlignment="1" applyBorder="1" applyFont="1">
      <alignment horizontal="center" vertical="center"/>
    </xf>
    <xf borderId="8" fillId="0" fontId="10" numFmtId="0" xfId="0" applyAlignment="1" applyBorder="1" applyFont="1">
      <alignment horizontal="center" vertical="center"/>
    </xf>
    <xf borderId="9" fillId="0" fontId="10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 readingOrder="0" vertical="center"/>
    </xf>
    <xf borderId="5" fillId="0" fontId="8" numFmtId="0" xfId="0" applyAlignment="1" applyBorder="1" applyFont="1">
      <alignment horizontal="center" readingOrder="0" vertical="center"/>
    </xf>
    <xf borderId="0" fillId="0" fontId="13" numFmtId="0" xfId="0" applyAlignment="1" applyFont="1">
      <alignment horizontal="center"/>
    </xf>
    <xf borderId="0" fillId="0" fontId="8" numFmtId="0" xfId="0" applyAlignment="1" applyFont="1">
      <alignment readingOrder="0"/>
    </xf>
    <xf borderId="0" fillId="0" fontId="14" numFmtId="0" xfId="0" applyAlignment="1" applyFont="1">
      <alignment horizontal="center" readingOrder="0" shrinkToFit="0" wrapText="1"/>
    </xf>
    <xf borderId="5" fillId="0" fontId="8" numFmtId="0" xfId="0" applyAlignment="1" applyBorder="1" applyFont="1">
      <alignment horizontal="center" vertical="center"/>
    </xf>
    <xf borderId="7" fillId="7" fontId="17" numFmtId="0" xfId="0" applyAlignment="1" applyBorder="1" applyFill="1" applyFont="1">
      <alignment horizontal="center" vertical="center"/>
    </xf>
    <xf borderId="7" fillId="0" fontId="8" numFmtId="0" xfId="0" applyAlignment="1" applyBorder="1" applyFont="1">
      <alignment horizontal="center" readingOrder="0" shrinkToFit="0" vertical="center" wrapText="1"/>
    </xf>
    <xf borderId="5" fillId="0" fontId="18" numFmtId="0" xfId="0" applyAlignment="1" applyBorder="1" applyFont="1">
      <alignment horizontal="center" readingOrder="0"/>
    </xf>
    <xf borderId="7" fillId="0" fontId="8" numFmtId="0" xfId="0" applyAlignment="1" applyBorder="1" applyFont="1">
      <alignment horizontal="center" readingOrder="0" vertical="center"/>
    </xf>
    <xf borderId="7" fillId="0" fontId="19" numFmtId="0" xfId="0" applyAlignment="1" applyBorder="1" applyFont="1">
      <alignment horizontal="center" readingOrder="0"/>
    </xf>
    <xf borderId="17" fillId="0" fontId="5" numFmtId="0" xfId="0" applyBorder="1" applyFont="1"/>
    <xf borderId="18" fillId="0" fontId="5" numFmtId="0" xfId="0" applyBorder="1" applyFont="1"/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EAF1DD"/>
          <bgColor rgb="FFEAF1DD"/>
        </patternFill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FDE9D9"/>
          <bgColor rgb="FFFDE9D9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b/>
      </font>
      <fill>
        <patternFill patternType="solid">
          <fgColor rgb="FFFF0000"/>
          <bgColor rgb="FFFF0000"/>
        </patternFill>
      </fill>
      <border/>
    </dxf>
    <dxf>
      <font>
        <color rgb="FFFF0000"/>
      </font>
      <fill>
        <patternFill patternType="none"/>
      </fill>
      <border/>
    </dxf>
  </dxfs>
  <tableStyles count="12">
    <tableStyle count="3" pivot="0" name="MODELO LISTA DE COMPROBACION - -style">
      <tableStyleElement dxfId="1" type="headerRow"/>
      <tableStyleElement dxfId="2" type="firstRowStripe"/>
      <tableStyleElement dxfId="3" type="secondRowStripe"/>
    </tableStyle>
    <tableStyle count="3" pivot="0" name="MODELO LISTA DE COMPROBACION - -style 2">
      <tableStyleElement dxfId="4" type="headerRow"/>
      <tableStyleElement dxfId="5" type="firstRowStripe"/>
      <tableStyleElement dxfId="3" type="secondRowStripe"/>
    </tableStyle>
    <tableStyle count="3" pivot="0" name="MODELO LISTA DE COMPROBACION - -style 3">
      <tableStyleElement dxfId="6" type="headerRow"/>
      <tableStyleElement dxfId="7" type="firstRowStripe"/>
      <tableStyleElement dxfId="3" type="secondRowStripe"/>
    </tableStyle>
    <tableStyle count="3" pivot="0" name="Hoja 2-style">
      <tableStyleElement dxfId="1" type="headerRow"/>
      <tableStyleElement dxfId="2" type="firstRowStripe"/>
      <tableStyleElement dxfId="3" type="secondRowStripe"/>
    </tableStyle>
    <tableStyle count="3" pivot="0" name="Hoja 2-style 2">
      <tableStyleElement dxfId="4" type="headerRow"/>
      <tableStyleElement dxfId="5" type="firstRowStripe"/>
      <tableStyleElement dxfId="3" type="secondRowStripe"/>
    </tableStyle>
    <tableStyle count="3" pivot="0" name="Hoja 2-style 3">
      <tableStyleElement dxfId="6" type="headerRow"/>
      <tableStyleElement dxfId="7" type="firstRowStripe"/>
      <tableStyleElement dxfId="3" type="secondRowStripe"/>
    </tableStyle>
    <tableStyle count="3" pivot="0" name="Hoja 3-style">
      <tableStyleElement dxfId="1" type="headerRow"/>
      <tableStyleElement dxfId="2" type="firstRowStripe"/>
      <tableStyleElement dxfId="3" type="secondRowStripe"/>
    </tableStyle>
    <tableStyle count="3" pivot="0" name="Hoja 3-style 2">
      <tableStyleElement dxfId="4" type="headerRow"/>
      <tableStyleElement dxfId="5" type="firstRowStripe"/>
      <tableStyleElement dxfId="3" type="secondRowStripe"/>
    </tableStyle>
    <tableStyle count="3" pivot="0" name="Hoja 3-style 3">
      <tableStyleElement dxfId="6" type="headerRow"/>
      <tableStyleElement dxfId="7" type="firstRowStripe"/>
      <tableStyleElement dxfId="3" type="secondRowStripe"/>
    </tableStyle>
    <tableStyle count="3" pivot="0" name="Hoja 4-style">
      <tableStyleElement dxfId="1" type="headerRow"/>
      <tableStyleElement dxfId="2" type="firstRowStripe"/>
      <tableStyleElement dxfId="3" type="secondRowStripe"/>
    </tableStyle>
    <tableStyle count="3" pivot="0" name="Hoja 4-style 2">
      <tableStyleElement dxfId="4" type="headerRow"/>
      <tableStyleElement dxfId="5" type="firstRowStripe"/>
      <tableStyleElement dxfId="3" type="secondRowStripe"/>
    </tableStyle>
    <tableStyle count="3" pivot="0" name="Hoja 4-style 3">
      <tableStyleElement dxfId="6" type="headerRow"/>
      <tableStyleElement dxfId="7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7"/>
          <c:y val="0.06018518518518518"/>
        </c:manualLayout>
      </c:layout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'MODELO LISTA DE COMPROBACION - '!$B$41:$B$43</c:f>
            </c:strRef>
          </c:cat>
          <c:val>
            <c:numRef>
              <c:f>'MODELO LISTA DE COMPROBACION - '!$C$41:$C$43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7"/>
          <c:y val="0.06018518518518518"/>
        </c:manualLayout>
      </c:layout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'Hoja 2'!$B$41:$B$43</c:f>
            </c:strRef>
          </c:cat>
          <c:val>
            <c:numRef>
              <c:f>'Hoja 2'!$C$41:$C$43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7"/>
          <c:y val="0.06018518518518518"/>
        </c:manualLayout>
      </c:layout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'Hoja 3'!$B$41:$B$43</c:f>
            </c:strRef>
          </c:cat>
          <c:val>
            <c:numRef>
              <c:f>'Hoja 3'!$C$41:$C$43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7"/>
          <c:y val="0.06018518518518518"/>
        </c:manualLayout>
      </c:layout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'Hoja 4'!$B$41:$B$43</c:f>
            </c:strRef>
          </c:cat>
          <c:val>
            <c:numRef>
              <c:f>'Hoja 4'!$C$41:$C$43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247650</xdr:colOff>
      <xdr:row>33</xdr:row>
      <xdr:rowOff>485775</xdr:rowOff>
    </xdr:from>
    <xdr:ext cx="4286250" cy="21431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247650</xdr:colOff>
      <xdr:row>33</xdr:row>
      <xdr:rowOff>485775</xdr:rowOff>
    </xdr:from>
    <xdr:ext cx="4286250" cy="21431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247650</xdr:colOff>
      <xdr:row>33</xdr:row>
      <xdr:rowOff>485775</xdr:rowOff>
    </xdr:from>
    <xdr:ext cx="4286250" cy="214312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247650</xdr:colOff>
      <xdr:row>33</xdr:row>
      <xdr:rowOff>485775</xdr:rowOff>
    </xdr:from>
    <xdr:ext cx="4286250" cy="214312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D16" displayName="Table_1" name="Table_1" id="1">
  <tableColumns count="4">
    <tableColumn name="No." id="1"/>
    <tableColumn name="Pregunta" id="2"/>
    <tableColumn name="SI" id="3"/>
    <tableColumn name="NO " id="4"/>
  </tableColumns>
  <tableStyleInfo name="MODELO LISTA DE COMPROBACION - -style" showColumnStripes="0" showFirstColumn="1" showLastColumn="1" showRowStripes="1"/>
</table>
</file>

<file path=xl/tables/table2.xml><?xml version="1.0" encoding="utf-8"?>
<table xmlns="http://schemas.openxmlformats.org/spreadsheetml/2006/main" ref="A21:D26" displayName="Table_2" name="Table_2" id="2">
  <tableColumns count="4">
    <tableColumn name="No." id="1"/>
    <tableColumn name="Pregunta" id="2"/>
    <tableColumn name="SI" id="3"/>
    <tableColumn name="NO " id="4"/>
  </tableColumns>
  <tableStyleInfo name="MODELO LISTA DE COMPROBACION - -style 2" showColumnStripes="0" showFirstColumn="1" showLastColumn="1" showRowStripes="1"/>
</table>
</file>

<file path=xl/tables/table3.xml><?xml version="1.0" encoding="utf-8"?>
<table xmlns="http://schemas.openxmlformats.org/spreadsheetml/2006/main" ref="A31:D34" displayName="Table_3" name="Table_3" id="3">
  <tableColumns count="4">
    <tableColumn name="No." id="1"/>
    <tableColumn name="Pregunta" id="2"/>
    <tableColumn name="SI" id="3"/>
    <tableColumn name="NO " id="4"/>
  </tableColumns>
  <tableStyleInfo name="MODELO LISTA DE COMPROBACION - -style 3" showColumnStripes="0" showFirstColumn="1" showLastColumn="1" showRowStripes="1"/>
</table>
</file>

<file path=xl/tables/table4.xml><?xml version="1.0" encoding="utf-8"?>
<table xmlns="http://schemas.openxmlformats.org/spreadsheetml/2006/main" ref="A7:D16" displayName="Table_4" name="Table_4" id="4">
  <tableColumns count="4">
    <tableColumn name="No." id="1"/>
    <tableColumn name="Pregunta" id="2"/>
    <tableColumn name="SI" id="3"/>
    <tableColumn name="NO " id="4"/>
  </tableColumns>
  <tableStyleInfo name="Hoja 2-style" showColumnStripes="0" showFirstColumn="1" showLastColumn="1" showRowStripes="1"/>
</table>
</file>

<file path=xl/tables/table5.xml><?xml version="1.0" encoding="utf-8"?>
<table xmlns="http://schemas.openxmlformats.org/spreadsheetml/2006/main" ref="A21:D26" displayName="Table_5" name="Table_5" id="5">
  <tableColumns count="4">
    <tableColumn name="No." id="1"/>
    <tableColumn name="Pregunta" id="2"/>
    <tableColumn name="SI" id="3"/>
    <tableColumn name="NO " id="4"/>
  </tableColumns>
  <tableStyleInfo name="Hoja 2-style 2" showColumnStripes="0" showFirstColumn="1" showLastColumn="1" showRowStripes="1"/>
</table>
</file>

<file path=xl/tables/table6.xml><?xml version="1.0" encoding="utf-8"?>
<table xmlns="http://schemas.openxmlformats.org/spreadsheetml/2006/main" ref="A31:D34" displayName="Table_6" name="Table_6" id="6">
  <tableColumns count="4">
    <tableColumn name="No." id="1"/>
    <tableColumn name="Pregunta" id="2"/>
    <tableColumn name="SI" id="3"/>
    <tableColumn name="NO " id="4"/>
  </tableColumns>
  <tableStyleInfo name="Hoja 2-style 3" showColumnStripes="0" showFirstColumn="1" showLastColumn="1" showRowStripes="1"/>
</table>
</file>

<file path=xl/tables/table7.xml><?xml version="1.0" encoding="utf-8"?>
<table xmlns="http://schemas.openxmlformats.org/spreadsheetml/2006/main" ref="A7:D16" displayName="Table_7" name="Table_7" id="7">
  <tableColumns count="4">
    <tableColumn name="No." id="1"/>
    <tableColumn name="Pregunta" id="2"/>
    <tableColumn name="SI" id="3"/>
    <tableColumn name="NO " id="4"/>
  </tableColumns>
  <tableStyleInfo name="Hoja 3-style" showColumnStripes="0" showFirstColumn="1" showLastColumn="1" showRowStripes="1"/>
</table>
</file>

<file path=xl/tables/table8.xml><?xml version="1.0" encoding="utf-8"?>
<table xmlns="http://schemas.openxmlformats.org/spreadsheetml/2006/main" ref="A21:D26" displayName="Table_8" name="Table_8" id="8">
  <tableColumns count="4">
    <tableColumn name="No." id="1"/>
    <tableColumn name="Pregunta" id="2"/>
    <tableColumn name="SI" id="3"/>
    <tableColumn name="NO " id="4"/>
  </tableColumns>
  <tableStyleInfo name="Hoja 3-style 2" showColumnStripes="0" showFirstColumn="1" showLastColumn="1" showRowStripes="1"/>
</table>
</file>

<file path=xl/tables/table9.xml><?xml version="1.0" encoding="utf-8"?>
<table xmlns="http://schemas.openxmlformats.org/spreadsheetml/2006/main" ref="A31:D34" displayName="Table_9" name="Table_9" id="9">
  <tableColumns count="4">
    <tableColumn name="No." id="1"/>
    <tableColumn name="Pregunta" id="2"/>
    <tableColumn name="SI" id="3"/>
    <tableColumn name="NO " id="4"/>
  </tableColumns>
  <tableStyleInfo name="Hoja 3-style 3" showColumnStripes="0" showFirstColumn="1" showLastColumn="1" showRowStripes="1"/>
</table>
</file>

<file path=xl/tables/table10.xml><?xml version="1.0" encoding="utf-8"?>
<table xmlns="http://schemas.openxmlformats.org/spreadsheetml/2006/main" ref="A7:D16" displayName="Table_10" name="Table_10" id="10">
  <tableColumns count="4">
    <tableColumn name="No." id="1"/>
    <tableColumn name="Pregunta" id="2"/>
    <tableColumn name="SI" id="3"/>
    <tableColumn name="NO " id="4"/>
  </tableColumns>
  <tableStyleInfo name="Hoja 4-style" showColumnStripes="0" showFirstColumn="1" showLastColumn="1" showRowStripes="1"/>
</table>
</file>

<file path=xl/tables/table11.xml><?xml version="1.0" encoding="utf-8"?>
<table xmlns="http://schemas.openxmlformats.org/spreadsheetml/2006/main" ref="A21:D26" displayName="Table_11" name="Table_11" id="11">
  <tableColumns count="4">
    <tableColumn name="No." id="1"/>
    <tableColumn name="Pregunta" id="2"/>
    <tableColumn name="SI" id="3"/>
    <tableColumn name="NO " id="4"/>
  </tableColumns>
  <tableStyleInfo name="Hoja 4-style 2" showColumnStripes="0" showFirstColumn="1" showLastColumn="1" showRowStripes="1"/>
</table>
</file>

<file path=xl/tables/table12.xml><?xml version="1.0" encoding="utf-8"?>
<table xmlns="http://schemas.openxmlformats.org/spreadsheetml/2006/main" ref="A31:D34" displayName="Table_12" name="Table_12" id="12">
  <tableColumns count="4">
    <tableColumn name="No." id="1"/>
    <tableColumn name="Pregunta" id="2"/>
    <tableColumn name="SI" id="3"/>
    <tableColumn name="NO " id="4"/>
  </tableColumns>
  <tableStyleInfo name="Hoja 4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Relationship Id="rId9" Type="http://schemas.openxmlformats.org/officeDocument/2006/relationships/table" Target="../tables/table6.xml"/><Relationship Id="rId7" Type="http://schemas.openxmlformats.org/officeDocument/2006/relationships/table" Target="../tables/table4.xml"/><Relationship Id="rId8" Type="http://schemas.openxmlformats.org/officeDocument/2006/relationships/table" Target="../tables/table5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Relationship Id="rId9" Type="http://schemas.openxmlformats.org/officeDocument/2006/relationships/table" Target="../tables/table9.xml"/><Relationship Id="rId7" Type="http://schemas.openxmlformats.org/officeDocument/2006/relationships/table" Target="../tables/table7.xml"/><Relationship Id="rId8" Type="http://schemas.openxmlformats.org/officeDocument/2006/relationships/table" Target="../tables/table8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Relationship Id="rId9" Type="http://schemas.openxmlformats.org/officeDocument/2006/relationships/table" Target="../tables/table12.xml"/><Relationship Id="rId7" Type="http://schemas.openxmlformats.org/officeDocument/2006/relationships/table" Target="../tables/table10.xml"/><Relationship Id="rId8" Type="http://schemas.openxmlformats.org/officeDocument/2006/relationships/table" Target="../tables/table1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57"/>
    <col customWidth="1" min="2" max="2" width="4.43"/>
    <col customWidth="1" min="3" max="3" width="3.71"/>
    <col customWidth="1" min="4" max="4" width="14.71"/>
    <col customWidth="1" min="5" max="5" width="9.71"/>
    <col customWidth="1" min="6" max="6" width="42.71"/>
    <col customWidth="1" min="7" max="7" width="10.14"/>
    <col customWidth="1" hidden="1" min="8" max="8" width="4.71"/>
    <col customWidth="1" min="9" max="9" width="42.71"/>
    <col customWidth="1" min="10" max="10" width="9.86"/>
    <col customWidth="1" min="11" max="11" width="39.57"/>
    <col customWidth="1" min="12" max="12" width="11.14"/>
    <col customWidth="1" min="13" max="13" width="44.14"/>
  </cols>
  <sheetData>
    <row r="1" ht="14.25" customHeight="1">
      <c r="C1" s="1"/>
    </row>
    <row r="2" ht="14.25" customHeight="1">
      <c r="C2" s="1"/>
    </row>
    <row r="3" ht="30.0" customHeight="1">
      <c r="C3" s="2" t="s">
        <v>0</v>
      </c>
    </row>
    <row r="4" ht="30.0" customHeight="1"/>
    <row r="5" ht="30.0" customHeight="1">
      <c r="C5" s="2"/>
      <c r="D5" s="3" t="s">
        <v>1</v>
      </c>
      <c r="E5" s="4" t="s">
        <v>2</v>
      </c>
    </row>
    <row r="6" ht="55.5" customHeight="1">
      <c r="C6" s="1"/>
      <c r="F6" s="5" t="s">
        <v>3</v>
      </c>
      <c r="G6" s="6"/>
      <c r="H6" s="6"/>
      <c r="I6" s="6"/>
      <c r="J6" s="6"/>
      <c r="K6" s="6"/>
      <c r="L6" s="6"/>
      <c r="M6" s="7"/>
    </row>
    <row r="7" ht="45.0" customHeight="1">
      <c r="B7" s="8" t="s">
        <v>4</v>
      </c>
      <c r="C7" s="9" t="s">
        <v>5</v>
      </c>
      <c r="D7" s="10"/>
      <c r="E7" s="11" t="s">
        <v>6</v>
      </c>
      <c r="F7" s="12" t="s">
        <v>7</v>
      </c>
      <c r="G7" s="11"/>
      <c r="H7" s="13"/>
      <c r="I7" s="12" t="s">
        <v>8</v>
      </c>
      <c r="J7" s="11"/>
      <c r="K7" s="12" t="s">
        <v>9</v>
      </c>
      <c r="L7" s="11"/>
      <c r="M7" s="12" t="s">
        <v>10</v>
      </c>
    </row>
    <row r="8" ht="60.0" customHeight="1">
      <c r="B8" s="14"/>
      <c r="C8" s="15"/>
      <c r="D8" s="16"/>
      <c r="E8" s="14"/>
      <c r="F8" s="14"/>
      <c r="G8" s="14"/>
      <c r="H8" s="13"/>
      <c r="I8" s="14"/>
      <c r="J8" s="14"/>
      <c r="K8" s="14"/>
      <c r="L8" s="14"/>
      <c r="M8" s="14"/>
    </row>
    <row r="9">
      <c r="B9" s="17">
        <v>1.0</v>
      </c>
      <c r="C9" s="18" t="s">
        <v>11</v>
      </c>
      <c r="D9" s="7"/>
      <c r="E9" s="19" t="s">
        <v>12</v>
      </c>
      <c r="F9" s="20" t="s">
        <v>13</v>
      </c>
      <c r="G9" s="21" t="s">
        <v>12</v>
      </c>
      <c r="H9" s="22"/>
      <c r="I9" s="20" t="s">
        <v>13</v>
      </c>
      <c r="J9" s="21" t="s">
        <v>12</v>
      </c>
      <c r="K9" s="20" t="s">
        <v>13</v>
      </c>
      <c r="L9" s="21" t="s">
        <v>12</v>
      </c>
      <c r="M9" s="20" t="s">
        <v>13</v>
      </c>
    </row>
    <row r="10">
      <c r="B10" s="17">
        <v>2.0</v>
      </c>
      <c r="C10" s="18" t="s">
        <v>14</v>
      </c>
      <c r="D10" s="7"/>
      <c r="E10" s="19" t="s">
        <v>12</v>
      </c>
      <c r="F10" s="23" t="s">
        <v>15</v>
      </c>
      <c r="G10" s="21" t="s">
        <v>12</v>
      </c>
      <c r="I10" s="23" t="s">
        <v>15</v>
      </c>
      <c r="J10" s="21" t="s">
        <v>12</v>
      </c>
      <c r="K10" s="24" t="s">
        <v>16</v>
      </c>
      <c r="L10" s="21" t="s">
        <v>12</v>
      </c>
      <c r="M10" s="24" t="s">
        <v>17</v>
      </c>
    </row>
    <row r="11">
      <c r="B11" s="17">
        <v>3.0</v>
      </c>
      <c r="C11" s="18" t="s">
        <v>18</v>
      </c>
      <c r="D11" s="7"/>
      <c r="E11" s="19" t="s">
        <v>12</v>
      </c>
      <c r="F11" s="24" t="s">
        <v>19</v>
      </c>
      <c r="G11" s="21" t="s">
        <v>12</v>
      </c>
      <c r="I11" s="23" t="s">
        <v>20</v>
      </c>
      <c r="J11" s="25" t="s">
        <v>21</v>
      </c>
      <c r="K11" s="24" t="s">
        <v>22</v>
      </c>
      <c r="L11" s="21" t="s">
        <v>12</v>
      </c>
      <c r="M11" s="24" t="s">
        <v>23</v>
      </c>
    </row>
    <row r="12">
      <c r="B12" s="17">
        <v>4.0</v>
      </c>
      <c r="C12" s="18" t="s">
        <v>24</v>
      </c>
      <c r="D12" s="7"/>
      <c r="E12" s="25" t="s">
        <v>21</v>
      </c>
      <c r="F12" s="26" t="s">
        <v>25</v>
      </c>
      <c r="G12" s="25" t="s">
        <v>21</v>
      </c>
      <c r="I12" s="27" t="s">
        <v>26</v>
      </c>
      <c r="J12" s="21" t="s">
        <v>12</v>
      </c>
      <c r="K12" s="26" t="s">
        <v>27</v>
      </c>
      <c r="L12" s="21" t="s">
        <v>12</v>
      </c>
      <c r="M12" s="26" t="s">
        <v>28</v>
      </c>
    </row>
    <row r="13">
      <c r="B13" s="17">
        <v>5.0</v>
      </c>
      <c r="C13" s="18" t="s">
        <v>29</v>
      </c>
      <c r="D13" s="7"/>
      <c r="E13" s="19" t="s">
        <v>12</v>
      </c>
      <c r="F13" s="26" t="s">
        <v>30</v>
      </c>
      <c r="G13" s="21" t="s">
        <v>12</v>
      </c>
      <c r="I13" s="27" t="s">
        <v>31</v>
      </c>
      <c r="J13" s="21" t="s">
        <v>12</v>
      </c>
      <c r="K13" s="26" t="s">
        <v>32</v>
      </c>
      <c r="L13" s="21" t="s">
        <v>12</v>
      </c>
      <c r="M13" s="26" t="s">
        <v>33</v>
      </c>
    </row>
    <row r="14">
      <c r="B14" s="17">
        <v>6.0</v>
      </c>
      <c r="C14" s="28" t="s">
        <v>34</v>
      </c>
      <c r="D14" s="7"/>
      <c r="E14" s="19" t="s">
        <v>12</v>
      </c>
      <c r="F14" s="27" t="s">
        <v>35</v>
      </c>
      <c r="G14" s="21" t="s">
        <v>12</v>
      </c>
      <c r="I14" s="27" t="s">
        <v>35</v>
      </c>
      <c r="J14" s="25" t="s">
        <v>21</v>
      </c>
      <c r="K14" s="26" t="s">
        <v>36</v>
      </c>
      <c r="L14" s="21" t="s">
        <v>12</v>
      </c>
      <c r="M14" s="26" t="s">
        <v>37</v>
      </c>
    </row>
    <row r="15">
      <c r="B15" s="17">
        <v>7.0</v>
      </c>
      <c r="C15" s="18" t="s">
        <v>38</v>
      </c>
      <c r="D15" s="7"/>
      <c r="E15" s="29" t="s">
        <v>21</v>
      </c>
      <c r="F15" s="27" t="s">
        <v>39</v>
      </c>
      <c r="G15" s="25" t="s">
        <v>21</v>
      </c>
      <c r="I15" s="27" t="s">
        <v>39</v>
      </c>
      <c r="J15" s="25" t="s">
        <v>21</v>
      </c>
      <c r="K15" s="26" t="s">
        <v>40</v>
      </c>
      <c r="L15" s="25" t="s">
        <v>21</v>
      </c>
      <c r="M15" s="26" t="s">
        <v>41</v>
      </c>
    </row>
    <row r="16" ht="66.75" customHeight="1">
      <c r="B16" s="17">
        <v>8.0</v>
      </c>
      <c r="C16" s="18" t="s">
        <v>42</v>
      </c>
      <c r="D16" s="7"/>
      <c r="E16" s="29" t="s">
        <v>21</v>
      </c>
      <c r="F16" s="26" t="s">
        <v>43</v>
      </c>
      <c r="G16" s="25" t="s">
        <v>21</v>
      </c>
      <c r="I16" s="26" t="s">
        <v>43</v>
      </c>
      <c r="J16" s="25" t="s">
        <v>21</v>
      </c>
      <c r="K16" s="26" t="s">
        <v>43</v>
      </c>
      <c r="L16" s="25" t="s">
        <v>21</v>
      </c>
      <c r="M16" s="26" t="s">
        <v>44</v>
      </c>
    </row>
    <row r="17">
      <c r="B17" s="17">
        <v>9.0</v>
      </c>
      <c r="C17" s="18" t="s">
        <v>45</v>
      </c>
      <c r="D17" s="7"/>
      <c r="E17" s="19" t="s">
        <v>12</v>
      </c>
      <c r="F17" s="30" t="s">
        <v>46</v>
      </c>
      <c r="G17" s="21" t="s">
        <v>12</v>
      </c>
      <c r="I17" s="31" t="s">
        <v>47</v>
      </c>
      <c r="J17" s="21" t="s">
        <v>12</v>
      </c>
      <c r="K17" s="30" t="s">
        <v>48</v>
      </c>
      <c r="L17" s="21" t="s">
        <v>12</v>
      </c>
      <c r="M17" s="30" t="s">
        <v>49</v>
      </c>
    </row>
    <row r="18">
      <c r="B18" s="17">
        <v>10.0</v>
      </c>
      <c r="C18" s="18" t="s">
        <v>50</v>
      </c>
      <c r="D18" s="7"/>
      <c r="E18" s="19" t="s">
        <v>12</v>
      </c>
      <c r="F18" s="27" t="s">
        <v>51</v>
      </c>
      <c r="G18" s="21" t="s">
        <v>12</v>
      </c>
      <c r="I18" s="27" t="s">
        <v>51</v>
      </c>
      <c r="J18" s="25" t="s">
        <v>21</v>
      </c>
      <c r="K18" s="26" t="s">
        <v>52</v>
      </c>
      <c r="L18" s="21" t="s">
        <v>12</v>
      </c>
      <c r="M18" s="26" t="s">
        <v>53</v>
      </c>
    </row>
    <row r="19">
      <c r="B19" s="17">
        <v>11.0</v>
      </c>
      <c r="C19" s="18" t="s">
        <v>54</v>
      </c>
      <c r="D19" s="7"/>
      <c r="E19" s="19" t="s">
        <v>12</v>
      </c>
      <c r="F19" s="27" t="s">
        <v>55</v>
      </c>
      <c r="G19" s="21" t="s">
        <v>12</v>
      </c>
      <c r="I19" s="27" t="s">
        <v>55</v>
      </c>
      <c r="J19" s="21" t="s">
        <v>12</v>
      </c>
      <c r="K19" s="27" t="s">
        <v>55</v>
      </c>
      <c r="L19" s="21" t="s">
        <v>12</v>
      </c>
      <c r="M19" s="26" t="s">
        <v>56</v>
      </c>
    </row>
    <row r="20" ht="14.25" customHeight="1">
      <c r="C20" s="1"/>
    </row>
    <row r="21" ht="14.25" customHeight="1">
      <c r="C21" s="1"/>
    </row>
    <row r="22" ht="14.25" customHeight="1">
      <c r="C22" s="1"/>
    </row>
    <row r="23" ht="14.25" customHeight="1">
      <c r="C23" s="1"/>
    </row>
    <row r="24" ht="14.25" customHeight="1">
      <c r="C24" s="1"/>
    </row>
    <row r="25" ht="14.25" customHeight="1">
      <c r="C25" s="1"/>
    </row>
    <row r="26" ht="14.25" customHeight="1">
      <c r="C26" s="1"/>
    </row>
    <row r="27" ht="14.25" customHeight="1">
      <c r="C27" s="1"/>
    </row>
    <row r="28" ht="14.25" customHeight="1">
      <c r="C28" s="1"/>
    </row>
    <row r="29" ht="14.25" customHeight="1">
      <c r="C29" s="1"/>
    </row>
    <row r="30" ht="14.25" customHeight="1">
      <c r="C30" s="1"/>
    </row>
    <row r="31" ht="14.25" customHeight="1">
      <c r="C31" s="1"/>
    </row>
    <row r="32" ht="14.25" customHeight="1">
      <c r="C32" s="1"/>
    </row>
    <row r="33" ht="14.25" customHeight="1">
      <c r="C33" s="1"/>
    </row>
    <row r="34" ht="14.25" customHeight="1">
      <c r="C34" s="1"/>
    </row>
    <row r="35" ht="14.25" customHeight="1">
      <c r="C35" s="1"/>
    </row>
    <row r="36" ht="14.25" customHeight="1">
      <c r="C36" s="1"/>
    </row>
    <row r="37" ht="14.25" customHeight="1">
      <c r="C37" s="1"/>
    </row>
    <row r="38" ht="14.25" customHeight="1">
      <c r="C38" s="1"/>
    </row>
    <row r="39" ht="14.25" customHeight="1">
      <c r="C39" s="1"/>
    </row>
    <row r="40" ht="14.25" customHeight="1">
      <c r="C40" s="1"/>
    </row>
    <row r="41" ht="14.25" customHeight="1">
      <c r="C41" s="1"/>
    </row>
    <row r="42" ht="14.25" customHeight="1">
      <c r="C42" s="1"/>
    </row>
    <row r="43" ht="14.25" customHeight="1">
      <c r="C43" s="1"/>
    </row>
    <row r="44" ht="14.25" customHeight="1">
      <c r="C44" s="1"/>
    </row>
    <row r="45" ht="14.25" customHeight="1">
      <c r="C45" s="1"/>
    </row>
    <row r="46" ht="14.25" customHeight="1">
      <c r="C46" s="1"/>
    </row>
    <row r="47" ht="14.25" customHeight="1">
      <c r="C47" s="1"/>
    </row>
    <row r="48" ht="14.25" customHeight="1">
      <c r="C48" s="1"/>
    </row>
    <row r="49" ht="14.25" customHeight="1">
      <c r="C49" s="1"/>
    </row>
    <row r="50" ht="14.25" customHeight="1">
      <c r="C50" s="1"/>
    </row>
    <row r="51" ht="14.25" customHeight="1">
      <c r="C51" s="1"/>
    </row>
    <row r="52" ht="14.25" customHeight="1">
      <c r="C52" s="1"/>
    </row>
    <row r="53" ht="14.25" customHeight="1">
      <c r="C53" s="1"/>
    </row>
    <row r="54" ht="14.25" customHeight="1">
      <c r="C54" s="1"/>
    </row>
    <row r="55" ht="14.25" customHeight="1">
      <c r="C55" s="1"/>
    </row>
    <row r="56" ht="14.25" customHeight="1">
      <c r="C56" s="1"/>
    </row>
    <row r="57" ht="14.25" customHeight="1">
      <c r="C57" s="1"/>
    </row>
    <row r="58" ht="14.25" customHeight="1">
      <c r="C58" s="1"/>
    </row>
    <row r="59" ht="14.25" customHeight="1">
      <c r="C59" s="1"/>
    </row>
    <row r="60" ht="14.25" customHeight="1">
      <c r="C60" s="1"/>
    </row>
    <row r="61" ht="14.25" customHeight="1">
      <c r="C61" s="1"/>
    </row>
    <row r="62" ht="14.25" customHeight="1">
      <c r="C62" s="1"/>
    </row>
    <row r="63" ht="14.25" customHeight="1">
      <c r="C63" s="1"/>
    </row>
    <row r="64" ht="14.25" customHeight="1">
      <c r="C64" s="1"/>
    </row>
    <row r="65" ht="14.25" customHeight="1">
      <c r="C65" s="1"/>
    </row>
    <row r="66" ht="14.25" customHeight="1">
      <c r="C66" s="1"/>
    </row>
    <row r="67" ht="14.25" customHeight="1">
      <c r="C67" s="1"/>
    </row>
    <row r="68" ht="14.25" customHeight="1">
      <c r="C68" s="1"/>
    </row>
    <row r="69" ht="14.25" customHeight="1">
      <c r="C69" s="1"/>
    </row>
    <row r="70" ht="14.25" customHeight="1">
      <c r="C70" s="1"/>
    </row>
    <row r="71" ht="14.25" customHeight="1">
      <c r="C71" s="1"/>
    </row>
    <row r="72" ht="14.25" customHeight="1">
      <c r="C72" s="1"/>
    </row>
    <row r="73" ht="14.25" customHeight="1">
      <c r="C73" s="1"/>
    </row>
    <row r="74" ht="14.25" customHeight="1">
      <c r="C74" s="1"/>
    </row>
    <row r="75" ht="14.25" customHeight="1">
      <c r="C75" s="1"/>
    </row>
    <row r="76" ht="14.25" customHeight="1">
      <c r="C76" s="1"/>
    </row>
    <row r="77" ht="14.25" customHeight="1">
      <c r="C77" s="1"/>
    </row>
    <row r="78" ht="14.25" customHeight="1">
      <c r="C78" s="1"/>
    </row>
    <row r="79" ht="14.25" customHeight="1">
      <c r="C79" s="1"/>
    </row>
    <row r="80" ht="14.25" customHeight="1">
      <c r="C80" s="1"/>
    </row>
    <row r="81" ht="14.25" customHeight="1">
      <c r="C81" s="1"/>
    </row>
    <row r="82" ht="14.25" customHeight="1">
      <c r="C82" s="1"/>
    </row>
    <row r="83" ht="14.25" customHeight="1">
      <c r="C83" s="1"/>
    </row>
    <row r="84" ht="14.25" customHeight="1">
      <c r="C84" s="1"/>
    </row>
    <row r="85" ht="14.25" customHeight="1">
      <c r="C85" s="1"/>
    </row>
    <row r="86" ht="14.25" customHeight="1">
      <c r="C86" s="1"/>
    </row>
    <row r="87" ht="14.25" customHeight="1">
      <c r="C87" s="1"/>
    </row>
    <row r="88" ht="14.25" customHeight="1">
      <c r="C88" s="1"/>
    </row>
    <row r="89" ht="14.25" customHeight="1">
      <c r="C89" s="1"/>
    </row>
    <row r="90" ht="14.25" customHeight="1">
      <c r="C90" s="1"/>
    </row>
    <row r="91" ht="14.25" customHeight="1">
      <c r="C91" s="1"/>
    </row>
    <row r="92" ht="14.25" customHeight="1">
      <c r="C92" s="1"/>
    </row>
    <row r="93" ht="14.25" customHeight="1">
      <c r="C93" s="1"/>
    </row>
    <row r="94" ht="14.25" customHeight="1">
      <c r="C94" s="1"/>
    </row>
    <row r="95" ht="14.25" customHeight="1">
      <c r="C95" s="1"/>
    </row>
    <row r="96" ht="14.25" customHeight="1">
      <c r="C96" s="1"/>
    </row>
    <row r="97" ht="14.25" customHeight="1">
      <c r="C97" s="1"/>
    </row>
    <row r="98" ht="14.25" customHeight="1">
      <c r="C98" s="1"/>
    </row>
    <row r="99" ht="14.25" customHeight="1">
      <c r="C99" s="1"/>
    </row>
    <row r="100" ht="14.25" customHeight="1">
      <c r="C100" s="1"/>
    </row>
    <row r="101" ht="14.25" customHeight="1">
      <c r="C101" s="1"/>
    </row>
    <row r="102" ht="14.25" customHeight="1">
      <c r="C102" s="1"/>
    </row>
    <row r="103" ht="14.25" customHeight="1">
      <c r="C103" s="1"/>
    </row>
    <row r="104" ht="14.25" customHeight="1">
      <c r="C104" s="1"/>
    </row>
    <row r="105" ht="14.25" customHeight="1">
      <c r="C105" s="1"/>
    </row>
    <row r="106" ht="14.25" customHeight="1">
      <c r="C106" s="1"/>
    </row>
    <row r="107" ht="14.25" customHeight="1">
      <c r="C107" s="1"/>
    </row>
    <row r="108" ht="14.25" customHeight="1">
      <c r="C108" s="1"/>
    </row>
    <row r="109" ht="14.25" customHeight="1">
      <c r="C109" s="1"/>
    </row>
    <row r="110" ht="14.25" customHeight="1">
      <c r="C110" s="1"/>
    </row>
    <row r="111" ht="14.25" customHeight="1">
      <c r="C111" s="1"/>
    </row>
    <row r="112" ht="14.25" customHeight="1">
      <c r="C112" s="1"/>
    </row>
    <row r="113" ht="14.25" customHeight="1">
      <c r="C113" s="1"/>
    </row>
    <row r="114" ht="14.25" customHeight="1">
      <c r="C114" s="1"/>
    </row>
    <row r="115" ht="14.25" customHeight="1">
      <c r="C115" s="1"/>
    </row>
    <row r="116" ht="14.25" customHeight="1">
      <c r="C116" s="1"/>
    </row>
    <row r="117" ht="14.25" customHeight="1">
      <c r="C117" s="1"/>
    </row>
    <row r="118" ht="14.25" customHeight="1">
      <c r="C118" s="1"/>
    </row>
    <row r="119" ht="14.25" customHeight="1">
      <c r="C119" s="1"/>
    </row>
    <row r="120" ht="14.25" customHeight="1">
      <c r="C120" s="1"/>
    </row>
    <row r="121" ht="14.25" customHeight="1">
      <c r="C121" s="1"/>
    </row>
    <row r="122" ht="14.25" customHeight="1">
      <c r="C122" s="1"/>
    </row>
    <row r="123" ht="14.25" customHeight="1">
      <c r="C123" s="1"/>
    </row>
    <row r="124" ht="14.25" customHeight="1">
      <c r="C124" s="1"/>
    </row>
    <row r="125" ht="14.25" customHeight="1">
      <c r="C125" s="1"/>
    </row>
    <row r="126" ht="14.25" customHeight="1">
      <c r="C126" s="1"/>
    </row>
    <row r="127" ht="14.25" customHeight="1">
      <c r="C127" s="1"/>
    </row>
    <row r="128" ht="14.25" customHeight="1">
      <c r="C128" s="1"/>
    </row>
    <row r="129" ht="14.25" customHeight="1">
      <c r="C129" s="1"/>
    </row>
    <row r="130" ht="14.25" customHeight="1">
      <c r="C130" s="1"/>
    </row>
    <row r="131" ht="14.25" customHeight="1">
      <c r="C131" s="1"/>
    </row>
    <row r="132" ht="14.25" customHeight="1">
      <c r="C132" s="1"/>
    </row>
    <row r="133" ht="14.25" customHeight="1">
      <c r="C133" s="1"/>
    </row>
    <row r="134" ht="14.25" customHeight="1">
      <c r="C134" s="1"/>
    </row>
    <row r="135" ht="14.25" customHeight="1">
      <c r="C135" s="1"/>
    </row>
    <row r="136" ht="14.25" customHeight="1">
      <c r="C136" s="1"/>
    </row>
    <row r="137" ht="14.25" customHeight="1">
      <c r="C137" s="1"/>
    </row>
    <row r="138" ht="14.25" customHeight="1">
      <c r="C138" s="1"/>
    </row>
    <row r="139" ht="14.25" customHeight="1">
      <c r="C139" s="1"/>
    </row>
    <row r="140" ht="14.25" customHeight="1">
      <c r="C140" s="1"/>
    </row>
    <row r="141" ht="14.25" customHeight="1">
      <c r="C141" s="1"/>
    </row>
    <row r="142" ht="14.25" customHeight="1">
      <c r="C142" s="1"/>
    </row>
    <row r="143" ht="14.25" customHeight="1">
      <c r="C143" s="1"/>
    </row>
    <row r="144" ht="14.25" customHeight="1">
      <c r="C144" s="1"/>
    </row>
    <row r="145" ht="14.25" customHeight="1">
      <c r="C145" s="1"/>
    </row>
    <row r="146" ht="14.25" customHeight="1">
      <c r="C146" s="1"/>
    </row>
    <row r="147" ht="14.25" customHeight="1">
      <c r="C147" s="1"/>
    </row>
    <row r="148" ht="14.25" customHeight="1">
      <c r="C148" s="1"/>
    </row>
    <row r="149" ht="14.25" customHeight="1">
      <c r="C149" s="1"/>
    </row>
    <row r="150" ht="14.25" customHeight="1">
      <c r="C150" s="1"/>
    </row>
    <row r="151" ht="14.25" customHeight="1">
      <c r="C151" s="1"/>
    </row>
    <row r="152" ht="14.25" customHeight="1">
      <c r="C152" s="1"/>
    </row>
    <row r="153" ht="14.25" customHeight="1">
      <c r="C153" s="1"/>
    </row>
    <row r="154" ht="14.25" customHeight="1">
      <c r="C154" s="1"/>
    </row>
    <row r="155" ht="14.25" customHeight="1">
      <c r="C155" s="1"/>
    </row>
    <row r="156" ht="14.25" customHeight="1">
      <c r="C156" s="1"/>
    </row>
    <row r="157" ht="14.25" customHeight="1">
      <c r="C157" s="1"/>
    </row>
    <row r="158" ht="14.25" customHeight="1">
      <c r="C158" s="1"/>
    </row>
    <row r="159" ht="14.25" customHeight="1">
      <c r="C159" s="1"/>
    </row>
    <row r="160" ht="14.25" customHeight="1">
      <c r="C160" s="1"/>
    </row>
    <row r="161" ht="14.25" customHeight="1">
      <c r="C161" s="1"/>
    </row>
    <row r="162" ht="14.25" customHeight="1">
      <c r="C162" s="1"/>
    </row>
    <row r="163" ht="14.25" customHeight="1">
      <c r="C163" s="1"/>
    </row>
    <row r="164" ht="14.25" customHeight="1">
      <c r="C164" s="1"/>
    </row>
    <row r="165" ht="14.25" customHeight="1">
      <c r="C165" s="1"/>
    </row>
    <row r="166" ht="14.25" customHeight="1">
      <c r="C166" s="1"/>
    </row>
    <row r="167" ht="14.25" customHeight="1">
      <c r="C167" s="1"/>
    </row>
    <row r="168" ht="14.25" customHeight="1">
      <c r="C168" s="1"/>
    </row>
    <row r="169" ht="14.25" customHeight="1">
      <c r="C169" s="1"/>
    </row>
    <row r="170" ht="14.25" customHeight="1">
      <c r="C170" s="1"/>
    </row>
    <row r="171" ht="14.25" customHeight="1">
      <c r="C171" s="1"/>
    </row>
    <row r="172" ht="14.25" customHeight="1">
      <c r="C172" s="1"/>
    </row>
    <row r="173" ht="14.25" customHeight="1">
      <c r="C173" s="1"/>
    </row>
    <row r="174" ht="14.25" customHeight="1">
      <c r="C174" s="1"/>
    </row>
    <row r="175" ht="14.25" customHeight="1">
      <c r="C175" s="1"/>
    </row>
    <row r="176" ht="14.25" customHeight="1">
      <c r="C176" s="1"/>
    </row>
    <row r="177" ht="14.25" customHeight="1">
      <c r="C177" s="1"/>
    </row>
    <row r="178" ht="14.25" customHeight="1">
      <c r="C178" s="1"/>
    </row>
    <row r="179" ht="14.25" customHeight="1">
      <c r="C179" s="1"/>
    </row>
    <row r="180" ht="14.25" customHeight="1">
      <c r="C180" s="1"/>
    </row>
    <row r="181" ht="14.25" customHeight="1">
      <c r="C181" s="1"/>
    </row>
    <row r="182" ht="14.25" customHeight="1">
      <c r="C182" s="1"/>
    </row>
    <row r="183" ht="14.25" customHeight="1">
      <c r="C183" s="1"/>
    </row>
    <row r="184" ht="14.25" customHeight="1">
      <c r="C184" s="1"/>
    </row>
    <row r="185" ht="14.25" customHeight="1">
      <c r="C185" s="1"/>
    </row>
    <row r="186" ht="14.25" customHeight="1">
      <c r="C186" s="1"/>
    </row>
    <row r="187" ht="14.25" customHeight="1">
      <c r="C187" s="1"/>
    </row>
    <row r="188" ht="14.25" customHeight="1">
      <c r="C188" s="1"/>
    </row>
    <row r="189" ht="14.25" customHeight="1">
      <c r="C189" s="1"/>
    </row>
    <row r="190" ht="14.25" customHeight="1">
      <c r="C190" s="1"/>
    </row>
    <row r="191" ht="14.25" customHeight="1">
      <c r="C191" s="1"/>
    </row>
    <row r="192" ht="14.25" customHeight="1">
      <c r="C192" s="1"/>
    </row>
    <row r="193" ht="14.25" customHeight="1">
      <c r="C193" s="1"/>
    </row>
    <row r="194" ht="14.25" customHeight="1">
      <c r="C194" s="1"/>
    </row>
    <row r="195" ht="14.25" customHeight="1">
      <c r="C195" s="1"/>
    </row>
    <row r="196" ht="14.25" customHeight="1">
      <c r="C196" s="1"/>
    </row>
    <row r="197" ht="14.25" customHeight="1">
      <c r="C197" s="1"/>
    </row>
    <row r="198" ht="14.25" customHeight="1">
      <c r="C198" s="1"/>
    </row>
    <row r="199" ht="14.25" customHeight="1">
      <c r="C199" s="1"/>
    </row>
    <row r="200" ht="14.25" customHeight="1">
      <c r="C200" s="1"/>
    </row>
    <row r="201" ht="14.25" customHeight="1">
      <c r="C201" s="1"/>
    </row>
    <row r="202" ht="14.25" customHeight="1">
      <c r="C202" s="1"/>
    </row>
    <row r="203" ht="14.25" customHeight="1">
      <c r="C203" s="1"/>
    </row>
    <row r="204" ht="14.25" customHeight="1">
      <c r="C204" s="1"/>
    </row>
    <row r="205" ht="14.25" customHeight="1">
      <c r="C205" s="1"/>
    </row>
    <row r="206" ht="14.25" customHeight="1">
      <c r="C206" s="1"/>
    </row>
    <row r="207" ht="14.25" customHeight="1">
      <c r="C207" s="1"/>
    </row>
    <row r="208" ht="14.25" customHeight="1">
      <c r="C208" s="1"/>
    </row>
    <row r="209" ht="14.25" customHeight="1">
      <c r="C209" s="1"/>
    </row>
    <row r="210" ht="14.25" customHeight="1">
      <c r="C210" s="1"/>
    </row>
    <row r="211" ht="14.25" customHeight="1">
      <c r="C211" s="1"/>
    </row>
    <row r="212" ht="14.25" customHeight="1">
      <c r="C212" s="1"/>
    </row>
    <row r="213" ht="14.25" customHeight="1">
      <c r="C213" s="1"/>
    </row>
    <row r="214" ht="14.25" customHeight="1">
      <c r="C214" s="1"/>
    </row>
    <row r="215" ht="14.25" customHeight="1">
      <c r="C215" s="1"/>
    </row>
    <row r="216" ht="14.25" customHeight="1">
      <c r="C216" s="1"/>
    </row>
    <row r="217" ht="14.25" customHeight="1">
      <c r="C217" s="1"/>
    </row>
    <row r="218" ht="14.25" customHeight="1">
      <c r="C218" s="1"/>
    </row>
    <row r="219" ht="14.25" customHeight="1">
      <c r="C219" s="1"/>
    </row>
    <row r="220" ht="14.25" customHeight="1">
      <c r="C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G7:G8"/>
    <mergeCell ref="I7:I8"/>
    <mergeCell ref="J7:J8"/>
    <mergeCell ref="K7:K8"/>
    <mergeCell ref="L7:L8"/>
    <mergeCell ref="M7:M8"/>
    <mergeCell ref="C3:K4"/>
    <mergeCell ref="E5:K5"/>
    <mergeCell ref="F6:M6"/>
    <mergeCell ref="B7:B8"/>
    <mergeCell ref="C7:D8"/>
    <mergeCell ref="E7:E8"/>
    <mergeCell ref="F7:F8"/>
    <mergeCell ref="C16:D16"/>
    <mergeCell ref="C17:D17"/>
    <mergeCell ref="C18:D18"/>
    <mergeCell ref="C19:D19"/>
    <mergeCell ref="C9:D9"/>
    <mergeCell ref="C10:D10"/>
    <mergeCell ref="C11:D11"/>
    <mergeCell ref="C12:D12"/>
    <mergeCell ref="C13:D13"/>
    <mergeCell ref="C14:D14"/>
    <mergeCell ref="C15:D15"/>
  </mergeCells>
  <printOptions horizontalCentered="1" verticalCentered="1"/>
  <pageMargins bottom="0.7480314960629921" footer="0.0" header="0.0" left="0.47" right="0.7086614173228347" top="0.7480314960629921"/>
  <pageSetup paperSize="9" scale="56" orientation="landscape"/>
  <headerFooter>
    <oddFooter>&amp;LElaborado por: Ing Jenny A Ruiz R, Mónica  Gómez Docentes TC del Departamento de Ciencias de la  Computación IREB PROYECTO DE CHECK LIST  (CASO DE ESTUDIO ACADÉMICO)&amp;C&amp;P de &amp;R&amp;D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7.29"/>
    <col customWidth="1" min="3" max="3" width="16.14"/>
    <col customWidth="1" min="4" max="24" width="10.71"/>
  </cols>
  <sheetData>
    <row r="1" ht="51.0" customHeight="1">
      <c r="A1" s="32"/>
      <c r="B1" s="33" t="s">
        <v>1</v>
      </c>
      <c r="C1" s="34" t="s">
        <v>57</v>
      </c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ht="17.25" customHeight="1">
      <c r="B2" s="35" t="s">
        <v>58</v>
      </c>
      <c r="C2" s="36">
        <v>46126.0</v>
      </c>
    </row>
    <row r="3" ht="14.25" customHeight="1">
      <c r="B3" s="35" t="s">
        <v>59</v>
      </c>
      <c r="C3" s="37" t="s">
        <v>60</v>
      </c>
    </row>
    <row r="4" ht="18.75" customHeight="1">
      <c r="B4" s="35" t="s">
        <v>61</v>
      </c>
      <c r="C4" s="37" t="s">
        <v>7</v>
      </c>
    </row>
    <row r="5" ht="14.25" customHeight="1"/>
    <row r="6">
      <c r="A6" s="38" t="s">
        <v>62</v>
      </c>
    </row>
    <row r="7" ht="15.0" customHeight="1">
      <c r="A7" s="39" t="s">
        <v>63</v>
      </c>
      <c r="B7" s="40" t="s">
        <v>64</v>
      </c>
      <c r="C7" s="40" t="s">
        <v>65</v>
      </c>
      <c r="D7" s="41" t="s">
        <v>66</v>
      </c>
    </row>
    <row r="8">
      <c r="A8" s="42">
        <v>1.0</v>
      </c>
      <c r="B8" s="43" t="s">
        <v>67</v>
      </c>
      <c r="C8" s="44" t="s">
        <v>68</v>
      </c>
      <c r="D8" s="45"/>
    </row>
    <row r="9">
      <c r="A9" s="42">
        <v>2.0</v>
      </c>
      <c r="B9" s="43" t="s">
        <v>69</v>
      </c>
      <c r="C9" s="44" t="s">
        <v>68</v>
      </c>
      <c r="D9" s="45"/>
    </row>
    <row r="10">
      <c r="A10" s="42">
        <v>3.0</v>
      </c>
      <c r="B10" s="43" t="s">
        <v>70</v>
      </c>
      <c r="C10" s="44"/>
      <c r="D10" s="46" t="s">
        <v>68</v>
      </c>
    </row>
    <row r="11">
      <c r="A11" s="42">
        <v>4.0</v>
      </c>
      <c r="B11" s="43" t="s">
        <v>71</v>
      </c>
      <c r="C11" s="44"/>
      <c r="D11" s="47" t="s">
        <v>68</v>
      </c>
    </row>
    <row r="12">
      <c r="A12" s="42">
        <v>5.0</v>
      </c>
      <c r="B12" s="43" t="s">
        <v>72</v>
      </c>
      <c r="C12" s="44" t="s">
        <v>68</v>
      </c>
      <c r="D12" s="45"/>
    </row>
    <row r="13">
      <c r="A13" s="42">
        <v>6.0</v>
      </c>
      <c r="B13" s="43" t="s">
        <v>73</v>
      </c>
      <c r="C13" s="44" t="s">
        <v>68</v>
      </c>
      <c r="D13" s="45"/>
    </row>
    <row r="14">
      <c r="A14" s="42">
        <v>7.0</v>
      </c>
      <c r="B14" s="43" t="s">
        <v>74</v>
      </c>
      <c r="C14" s="44" t="s">
        <v>68</v>
      </c>
      <c r="D14" s="45"/>
    </row>
    <row r="15">
      <c r="A15" s="42">
        <v>8.0</v>
      </c>
      <c r="B15" s="43" t="s">
        <v>75</v>
      </c>
      <c r="C15" s="44" t="s">
        <v>68</v>
      </c>
      <c r="D15" s="45"/>
    </row>
    <row r="16">
      <c r="A16" s="48">
        <v>9.0</v>
      </c>
      <c r="B16" s="49" t="s">
        <v>76</v>
      </c>
      <c r="C16" s="50"/>
      <c r="D16" s="50" t="s">
        <v>68</v>
      </c>
    </row>
    <row r="17">
      <c r="A17" s="51" t="s">
        <v>77</v>
      </c>
      <c r="C17" s="22">
        <f>COUNTA('MODELO LISTA DE COMPROBACION - '!$C$8:$C$16)</f>
        <v>6</v>
      </c>
      <c r="D17" s="22">
        <f>COUNTA('MODELO LISTA DE COMPROBACION - '!$D$8:$D$16)</f>
        <v>3</v>
      </c>
    </row>
    <row r="18">
      <c r="A18" s="51" t="s">
        <v>78</v>
      </c>
      <c r="C18" s="52">
        <f t="shared" ref="C18:D18" si="1">C17/9</f>
        <v>0.6666666667</v>
      </c>
      <c r="D18" s="52">
        <f t="shared" si="1"/>
        <v>0.3333333333</v>
      </c>
    </row>
    <row r="19" ht="14.25" customHeight="1">
      <c r="A19" s="51"/>
      <c r="B19" s="51"/>
      <c r="C19" s="52"/>
      <c r="D19" s="22"/>
    </row>
    <row r="20">
      <c r="A20" s="53" t="s">
        <v>79</v>
      </c>
      <c r="B20" s="54"/>
      <c r="C20" s="54"/>
      <c r="D20" s="54"/>
    </row>
    <row r="21">
      <c r="A21" s="55" t="s">
        <v>63</v>
      </c>
      <c r="B21" s="56" t="s">
        <v>64</v>
      </c>
      <c r="C21" s="57" t="s">
        <v>65</v>
      </c>
      <c r="D21" s="58" t="s">
        <v>66</v>
      </c>
    </row>
    <row r="22">
      <c r="A22" s="42">
        <v>1.0</v>
      </c>
      <c r="B22" s="43" t="s">
        <v>80</v>
      </c>
      <c r="C22" s="50" t="s">
        <v>68</v>
      </c>
      <c r="D22" s="45"/>
    </row>
    <row r="23">
      <c r="A23" s="42">
        <v>2.0</v>
      </c>
      <c r="B23" s="43" t="s">
        <v>81</v>
      </c>
      <c r="C23" s="59" t="s">
        <v>68</v>
      </c>
      <c r="D23" s="45"/>
    </row>
    <row r="24">
      <c r="A24" s="42">
        <v>3.0</v>
      </c>
      <c r="B24" s="43" t="s">
        <v>82</v>
      </c>
      <c r="C24" s="50"/>
      <c r="D24" s="47" t="s">
        <v>68</v>
      </c>
    </row>
    <row r="25">
      <c r="A25" s="42">
        <v>4.0</v>
      </c>
      <c r="B25" s="43" t="s">
        <v>83</v>
      </c>
      <c r="C25" s="50" t="s">
        <v>68</v>
      </c>
      <c r="D25" s="45"/>
    </row>
    <row r="26">
      <c r="A26" s="48">
        <v>5.0</v>
      </c>
      <c r="B26" s="49" t="s">
        <v>84</v>
      </c>
      <c r="C26" s="50"/>
      <c r="D26" s="60" t="s">
        <v>68</v>
      </c>
    </row>
    <row r="27" ht="14.25" customHeight="1">
      <c r="A27" s="51" t="s">
        <v>77</v>
      </c>
      <c r="C27" s="22">
        <f>COUNTA('MODELO LISTA DE COMPROBACION - '!$C$22:$C$26)</f>
        <v>3</v>
      </c>
      <c r="D27" s="22">
        <f>COUNTA('MODELO LISTA DE COMPROBACION - '!$D$22:$D$26)</f>
        <v>2</v>
      </c>
    </row>
    <row r="28" ht="14.25" customHeight="1">
      <c r="A28" s="51" t="s">
        <v>78</v>
      </c>
      <c r="C28" s="52">
        <f t="shared" ref="C28:D28" si="2">C27/5</f>
        <v>0.6</v>
      </c>
      <c r="D28" s="52">
        <f t="shared" si="2"/>
        <v>0.4</v>
      </c>
    </row>
    <row r="29" ht="14.25" customHeight="1">
      <c r="A29" s="51"/>
      <c r="B29" s="51"/>
      <c r="C29" s="52"/>
      <c r="D29" s="22"/>
    </row>
    <row r="30" ht="22.5" customHeight="1">
      <c r="A30" s="38" t="s">
        <v>85</v>
      </c>
    </row>
    <row r="31" ht="18.75" customHeight="1">
      <c r="A31" s="55" t="s">
        <v>63</v>
      </c>
      <c r="B31" s="56" t="s">
        <v>64</v>
      </c>
      <c r="C31" s="57" t="s">
        <v>65</v>
      </c>
      <c r="D31" s="58" t="s">
        <v>66</v>
      </c>
    </row>
    <row r="32">
      <c r="A32" s="42">
        <v>1.0</v>
      </c>
      <c r="B32" s="43" t="s">
        <v>86</v>
      </c>
      <c r="C32" s="50" t="s">
        <v>68</v>
      </c>
      <c r="D32" s="50"/>
    </row>
    <row r="33">
      <c r="A33" s="42">
        <v>2.0</v>
      </c>
      <c r="B33" s="43" t="s">
        <v>87</v>
      </c>
      <c r="C33" s="59" t="s">
        <v>68</v>
      </c>
      <c r="D33" s="59"/>
    </row>
    <row r="34">
      <c r="A34" s="48">
        <v>3.0</v>
      </c>
      <c r="B34" s="49" t="s">
        <v>88</v>
      </c>
      <c r="C34" s="50"/>
      <c r="D34" s="59" t="s">
        <v>68</v>
      </c>
    </row>
    <row r="35" ht="14.25" customHeight="1">
      <c r="A35" s="51" t="s">
        <v>77</v>
      </c>
      <c r="C35" s="22">
        <f>COUNTA('MODELO LISTA DE COMPROBACION - '!$C$32:$C$34)</f>
        <v>2</v>
      </c>
      <c r="D35" s="22">
        <f>COUNTA('MODELO LISTA DE COMPROBACION - '!$D$32:$D$34)</f>
        <v>1</v>
      </c>
    </row>
    <row r="36" ht="14.25" customHeight="1">
      <c r="A36" s="51" t="s">
        <v>78</v>
      </c>
      <c r="C36" s="52">
        <f t="shared" ref="C36:D36" si="3">C35/3</f>
        <v>0.6666666667</v>
      </c>
      <c r="D36" s="52">
        <f t="shared" si="3"/>
        <v>0.3333333333</v>
      </c>
    </row>
    <row r="37" ht="14.25" customHeight="1"/>
    <row r="38" ht="14.25" customHeight="1"/>
    <row r="39" ht="14.25" customHeight="1"/>
    <row r="40" ht="14.25" customHeight="1">
      <c r="A40" s="61" t="s">
        <v>89</v>
      </c>
    </row>
    <row r="41" ht="30.0" customHeight="1">
      <c r="B41" s="32" t="s">
        <v>90</v>
      </c>
      <c r="C41" s="62">
        <v>67.0</v>
      </c>
    </row>
    <row r="42" ht="30.0" customHeight="1">
      <c r="B42" s="32" t="s">
        <v>79</v>
      </c>
      <c r="C42" s="62">
        <v>60.0</v>
      </c>
    </row>
    <row r="43" ht="30.0" customHeight="1">
      <c r="B43" s="32" t="s">
        <v>85</v>
      </c>
      <c r="C43" s="62">
        <v>67.0</v>
      </c>
    </row>
    <row r="44" ht="14.25" customHeight="1">
      <c r="C44" s="22"/>
    </row>
    <row r="45" ht="14.25" customHeight="1">
      <c r="C45" s="22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18:B18"/>
    <mergeCell ref="A27:B27"/>
    <mergeCell ref="A28:B28"/>
    <mergeCell ref="A30:D30"/>
    <mergeCell ref="A35:B35"/>
    <mergeCell ref="A36:B36"/>
    <mergeCell ref="A40:C40"/>
    <mergeCell ref="C1:D1"/>
    <mergeCell ref="C2:D2"/>
    <mergeCell ref="C3:D3"/>
    <mergeCell ref="C4:D4"/>
    <mergeCell ref="A6:D6"/>
    <mergeCell ref="A17:B17"/>
    <mergeCell ref="A20:D20"/>
  </mergeCells>
  <conditionalFormatting sqref="A32:D34">
    <cfRule type="containsText" dxfId="8" priority="1" operator="containsText" text="X">
      <formula>NOT(ISERROR(SEARCH(("X"),(A32))))</formula>
    </cfRule>
  </conditionalFormatting>
  <conditionalFormatting sqref="C8:D16 C22:C26 C32:D34">
    <cfRule type="containsText" dxfId="9" priority="2" operator="containsText" text="X">
      <formula>NOT(ISERROR(SEARCH(("X"),(C8))))</formula>
    </cfRule>
  </conditionalFormatting>
  <conditionalFormatting sqref="C8:D16 C22:C26 C32:D34">
    <cfRule type="containsText" dxfId="10" priority="3" operator="containsText" text="X">
      <formula>NOT(ISERROR(SEARCH(("X"),(C8))))</formula>
    </cfRule>
  </conditionalFormatting>
  <conditionalFormatting sqref="C8:D16 C22:C26 C32:D34">
    <cfRule type="containsText" dxfId="11" priority="4" operator="containsText" text="X">
      <formula>NOT(ISERROR(SEARCH(("X"),(C8))))</formula>
    </cfRule>
  </conditionalFormatting>
  <conditionalFormatting sqref="C8:D16 C22:C26 C32:D34">
    <cfRule type="containsText" dxfId="12" priority="5" operator="containsText" text="X">
      <formula>NOT(ISERROR(SEARCH(("X"),(C8))))</formula>
    </cfRule>
  </conditionalFormatting>
  <conditionalFormatting sqref="C22:D26">
    <cfRule type="containsText" dxfId="9" priority="6" operator="containsText" text="X">
      <formula>NOT(ISERROR(SEARCH(("X"),(C22))))</formula>
    </cfRule>
  </conditionalFormatting>
  <conditionalFormatting sqref="C22:D26">
    <cfRule type="containsText" dxfId="10" priority="7" operator="containsText" text="X">
      <formula>NOT(ISERROR(SEARCH(("X"),(C22))))</formula>
    </cfRule>
  </conditionalFormatting>
  <conditionalFormatting sqref="C32:D34">
    <cfRule type="containsText" dxfId="9" priority="8" operator="containsText" text="X">
      <formula>NOT(ISERROR(SEARCH(("X"),(C32))))</formula>
    </cfRule>
  </conditionalFormatting>
  <printOptions/>
  <pageMargins bottom="0.75" footer="0.0" header="0.0" left="0.7" right="0.7" top="0.75"/>
  <pageSetup paperSize="9" orientation="portrait"/>
  <drawing r:id="rId2"/>
  <legacyDrawing r:id="rId3"/>
  <tableParts count="3"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7.29"/>
    <col customWidth="1" min="3" max="3" width="16.14"/>
    <col customWidth="1" min="4" max="4" width="19.0"/>
    <col customWidth="1" min="5" max="24" width="10.71"/>
  </cols>
  <sheetData>
    <row r="1" ht="51.0" customHeight="1">
      <c r="A1" s="32"/>
      <c r="B1" s="33" t="s">
        <v>1</v>
      </c>
      <c r="C1" s="34" t="s">
        <v>91</v>
      </c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>
      <c r="B2" s="35" t="s">
        <v>58</v>
      </c>
      <c r="C2" s="36">
        <v>46126.0</v>
      </c>
    </row>
    <row r="3">
      <c r="B3" s="35" t="s">
        <v>59</v>
      </c>
      <c r="C3" s="37" t="s">
        <v>92</v>
      </c>
    </row>
    <row r="4" ht="45.0" customHeight="1">
      <c r="B4" s="35" t="s">
        <v>61</v>
      </c>
      <c r="C4" s="63" t="s">
        <v>93</v>
      </c>
    </row>
    <row r="5" ht="14.25" customHeight="1"/>
    <row r="6">
      <c r="A6" s="38" t="s">
        <v>62</v>
      </c>
    </row>
    <row r="7" ht="15.0" customHeight="1">
      <c r="A7" s="39" t="s">
        <v>63</v>
      </c>
      <c r="B7" s="40" t="s">
        <v>64</v>
      </c>
      <c r="C7" s="40" t="s">
        <v>65</v>
      </c>
      <c r="D7" s="41" t="s">
        <v>66</v>
      </c>
    </row>
    <row r="8">
      <c r="A8" s="42">
        <v>1.0</v>
      </c>
      <c r="B8" s="43" t="s">
        <v>67</v>
      </c>
      <c r="C8" s="44" t="s">
        <v>68</v>
      </c>
      <c r="D8" s="45"/>
    </row>
    <row r="9">
      <c r="A9" s="42">
        <v>2.0</v>
      </c>
      <c r="B9" s="43" t="s">
        <v>69</v>
      </c>
      <c r="C9" s="44"/>
      <c r="D9" s="47" t="s">
        <v>68</v>
      </c>
    </row>
    <row r="10">
      <c r="A10" s="42">
        <v>3.0</v>
      </c>
      <c r="B10" s="43" t="s">
        <v>70</v>
      </c>
      <c r="C10" s="44" t="s">
        <v>68</v>
      </c>
      <c r="D10" s="45"/>
    </row>
    <row r="11">
      <c r="A11" s="42">
        <v>4.0</v>
      </c>
      <c r="B11" s="43" t="s">
        <v>71</v>
      </c>
      <c r="C11" s="44" t="s">
        <v>68</v>
      </c>
      <c r="D11" s="45"/>
    </row>
    <row r="12">
      <c r="A12" s="42">
        <v>5.0</v>
      </c>
      <c r="B12" s="43" t="s">
        <v>72</v>
      </c>
      <c r="C12" s="44" t="s">
        <v>68</v>
      </c>
      <c r="D12" s="45"/>
    </row>
    <row r="13">
      <c r="A13" s="42">
        <v>6.0</v>
      </c>
      <c r="B13" s="43" t="s">
        <v>73</v>
      </c>
      <c r="C13" s="44" t="s">
        <v>68</v>
      </c>
      <c r="D13" s="45"/>
    </row>
    <row r="14">
      <c r="A14" s="42">
        <v>7.0</v>
      </c>
      <c r="B14" s="43" t="s">
        <v>74</v>
      </c>
      <c r="C14" s="44"/>
      <c r="D14" s="47" t="s">
        <v>68</v>
      </c>
    </row>
    <row r="15">
      <c r="A15" s="42">
        <v>8.0</v>
      </c>
      <c r="B15" s="43" t="s">
        <v>75</v>
      </c>
      <c r="C15" s="44" t="s">
        <v>68</v>
      </c>
      <c r="D15" s="45"/>
    </row>
    <row r="16">
      <c r="A16" s="48">
        <v>9.0</v>
      </c>
      <c r="B16" s="49" t="s">
        <v>76</v>
      </c>
      <c r="C16" s="50"/>
      <c r="D16" s="50" t="s">
        <v>68</v>
      </c>
    </row>
    <row r="17">
      <c r="A17" s="51" t="s">
        <v>77</v>
      </c>
      <c r="C17" s="22">
        <f>COUNTA('Hoja 2'!$C$8:$C$16)</f>
        <v>6</v>
      </c>
      <c r="D17" s="22">
        <f>COUNTA('Hoja 2'!$D$8:$D$16)</f>
        <v>3</v>
      </c>
    </row>
    <row r="18">
      <c r="A18" s="51" t="s">
        <v>78</v>
      </c>
      <c r="C18" s="52">
        <f t="shared" ref="C18:D18" si="1">C17/9</f>
        <v>0.6666666667</v>
      </c>
      <c r="D18" s="52">
        <f t="shared" si="1"/>
        <v>0.3333333333</v>
      </c>
    </row>
    <row r="19" ht="14.25" customHeight="1">
      <c r="A19" s="51"/>
      <c r="B19" s="51"/>
      <c r="C19" s="52"/>
      <c r="D19" s="22"/>
    </row>
    <row r="20">
      <c r="A20" s="53" t="s">
        <v>79</v>
      </c>
      <c r="B20" s="54"/>
      <c r="C20" s="54"/>
      <c r="D20" s="54"/>
    </row>
    <row r="21">
      <c r="A21" s="55" t="s">
        <v>63</v>
      </c>
      <c r="B21" s="56" t="s">
        <v>64</v>
      </c>
      <c r="C21" s="57" t="s">
        <v>65</v>
      </c>
      <c r="D21" s="58" t="s">
        <v>66</v>
      </c>
    </row>
    <row r="22">
      <c r="A22" s="42">
        <v>1.0</v>
      </c>
      <c r="B22" s="43" t="s">
        <v>80</v>
      </c>
      <c r="C22" s="50" t="s">
        <v>68</v>
      </c>
      <c r="D22" s="45"/>
    </row>
    <row r="23">
      <c r="A23" s="42">
        <v>2.0</v>
      </c>
      <c r="B23" s="43" t="s">
        <v>81</v>
      </c>
      <c r="C23" s="50"/>
      <c r="D23" s="47" t="s">
        <v>68</v>
      </c>
    </row>
    <row r="24">
      <c r="A24" s="42">
        <v>3.0</v>
      </c>
      <c r="B24" s="43" t="s">
        <v>82</v>
      </c>
      <c r="C24" s="50" t="s">
        <v>68</v>
      </c>
      <c r="D24" s="45"/>
    </row>
    <row r="25">
      <c r="A25" s="42">
        <v>4.0</v>
      </c>
      <c r="B25" s="43" t="s">
        <v>83</v>
      </c>
      <c r="C25" s="50"/>
      <c r="D25" s="47" t="s">
        <v>94</v>
      </c>
    </row>
    <row r="26">
      <c r="A26" s="48">
        <v>5.0</v>
      </c>
      <c r="B26" s="49" t="s">
        <v>84</v>
      </c>
      <c r="C26" s="50" t="s">
        <v>68</v>
      </c>
      <c r="D26" s="64"/>
    </row>
    <row r="27" ht="14.25" customHeight="1">
      <c r="A27" s="51" t="s">
        <v>77</v>
      </c>
      <c r="C27" s="22">
        <f>COUNTA('Hoja 2'!$C$22:$C$26)</f>
        <v>3</v>
      </c>
      <c r="D27" s="22">
        <f>COUNTA('Hoja 2'!$D$22:$D$26)</f>
        <v>2</v>
      </c>
    </row>
    <row r="28">
      <c r="A28" s="51" t="s">
        <v>78</v>
      </c>
      <c r="C28" s="52">
        <f t="shared" ref="C28:D28" si="2">C27/5</f>
        <v>0.6</v>
      </c>
      <c r="D28" s="52">
        <f t="shared" si="2"/>
        <v>0.4</v>
      </c>
    </row>
    <row r="29" ht="14.25" customHeight="1">
      <c r="A29" s="51"/>
      <c r="B29" s="51"/>
      <c r="C29" s="52"/>
      <c r="D29" s="22"/>
    </row>
    <row r="30">
      <c r="A30" s="38" t="s">
        <v>85</v>
      </c>
    </row>
    <row r="31" ht="14.25" customHeight="1">
      <c r="A31" s="55" t="s">
        <v>63</v>
      </c>
      <c r="B31" s="56" t="s">
        <v>64</v>
      </c>
      <c r="C31" s="57" t="s">
        <v>65</v>
      </c>
      <c r="D31" s="58" t="s">
        <v>66</v>
      </c>
    </row>
    <row r="32">
      <c r="A32" s="42">
        <v>1.0</v>
      </c>
      <c r="B32" s="43" t="s">
        <v>86</v>
      </c>
      <c r="C32" s="50" t="s">
        <v>68</v>
      </c>
      <c r="D32" s="50"/>
    </row>
    <row r="33">
      <c r="A33" s="42">
        <v>2.0</v>
      </c>
      <c r="B33" s="43" t="s">
        <v>87</v>
      </c>
      <c r="C33" s="50" t="s">
        <v>68</v>
      </c>
      <c r="D33" s="50"/>
    </row>
    <row r="34">
      <c r="A34" s="48">
        <v>3.0</v>
      </c>
      <c r="B34" s="49" t="s">
        <v>88</v>
      </c>
      <c r="C34" s="50"/>
      <c r="D34" s="59" t="s">
        <v>68</v>
      </c>
    </row>
    <row r="35" ht="14.25" customHeight="1">
      <c r="A35" s="51" t="s">
        <v>77</v>
      </c>
      <c r="C35" s="22">
        <f>COUNTA('Hoja 2'!$C$32:$C$34)</f>
        <v>2</v>
      </c>
      <c r="D35" s="22">
        <f>COUNTA('Hoja 2'!$D$32:$D$34)</f>
        <v>1</v>
      </c>
    </row>
    <row r="36" ht="14.25" customHeight="1">
      <c r="A36" s="51" t="s">
        <v>78</v>
      </c>
      <c r="C36" s="52">
        <f t="shared" ref="C36:D36" si="3">C35/3</f>
        <v>0.6666666667</v>
      </c>
      <c r="D36" s="52">
        <f t="shared" si="3"/>
        <v>0.3333333333</v>
      </c>
    </row>
    <row r="37" ht="14.25" customHeight="1"/>
    <row r="38" ht="14.25" customHeight="1"/>
    <row r="39" ht="14.25" customHeight="1"/>
    <row r="40" ht="14.25" customHeight="1">
      <c r="A40" s="61" t="s">
        <v>89</v>
      </c>
    </row>
    <row r="41" ht="30.0" customHeight="1">
      <c r="B41" s="32" t="s">
        <v>90</v>
      </c>
      <c r="C41" s="62">
        <v>67.0</v>
      </c>
    </row>
    <row r="42" ht="30.0" customHeight="1">
      <c r="B42" s="32" t="s">
        <v>79</v>
      </c>
      <c r="C42" s="62">
        <v>60.0</v>
      </c>
    </row>
    <row r="43" ht="30.0" customHeight="1">
      <c r="B43" s="32" t="s">
        <v>85</v>
      </c>
      <c r="C43" s="62">
        <v>67.0</v>
      </c>
    </row>
    <row r="44" ht="14.25" customHeight="1">
      <c r="C44" s="22"/>
    </row>
    <row r="45" ht="14.25" customHeight="1">
      <c r="C45" s="22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18:B18"/>
    <mergeCell ref="A27:B27"/>
    <mergeCell ref="A28:B28"/>
    <mergeCell ref="A30:D30"/>
    <mergeCell ref="A35:B35"/>
    <mergeCell ref="A36:B36"/>
    <mergeCell ref="A40:C40"/>
    <mergeCell ref="C1:D1"/>
    <mergeCell ref="C2:D2"/>
    <mergeCell ref="C3:D3"/>
    <mergeCell ref="C4:D4"/>
    <mergeCell ref="A6:D6"/>
    <mergeCell ref="A17:B17"/>
    <mergeCell ref="A20:D20"/>
  </mergeCells>
  <conditionalFormatting sqref="A32:D34">
    <cfRule type="containsText" dxfId="8" priority="1" operator="containsText" text="X">
      <formula>NOT(ISERROR(SEARCH(("X"),(A32))))</formula>
    </cfRule>
  </conditionalFormatting>
  <conditionalFormatting sqref="C8:D16 C22:C26 C32:D34">
    <cfRule type="containsText" dxfId="9" priority="2" operator="containsText" text="X">
      <formula>NOT(ISERROR(SEARCH(("X"),(C8))))</formula>
    </cfRule>
  </conditionalFormatting>
  <conditionalFormatting sqref="C8:D16 C22:C26 C32:D34">
    <cfRule type="containsText" dxfId="10" priority="3" operator="containsText" text="X">
      <formula>NOT(ISERROR(SEARCH(("X"),(C8))))</formula>
    </cfRule>
  </conditionalFormatting>
  <conditionalFormatting sqref="C8:D16 C22:C26 C32:D34">
    <cfRule type="containsText" dxfId="11" priority="4" operator="containsText" text="X">
      <formula>NOT(ISERROR(SEARCH(("X"),(C8))))</formula>
    </cfRule>
  </conditionalFormatting>
  <conditionalFormatting sqref="C8:D16 C22:C26 C32:D34">
    <cfRule type="containsText" dxfId="12" priority="5" operator="containsText" text="X">
      <formula>NOT(ISERROR(SEARCH(("X"),(C8))))</formula>
    </cfRule>
  </conditionalFormatting>
  <conditionalFormatting sqref="C22:D26">
    <cfRule type="containsText" dxfId="9" priority="6" operator="containsText" text="X">
      <formula>NOT(ISERROR(SEARCH(("X"),(C22))))</formula>
    </cfRule>
  </conditionalFormatting>
  <conditionalFormatting sqref="C22:D26">
    <cfRule type="containsText" dxfId="10" priority="7" operator="containsText" text="X">
      <formula>NOT(ISERROR(SEARCH(("X"),(C22))))</formula>
    </cfRule>
  </conditionalFormatting>
  <conditionalFormatting sqref="C32:D34">
    <cfRule type="containsText" dxfId="9" priority="8" operator="containsText" text="X">
      <formula>NOT(ISERROR(SEARCH(("X"),(C32))))</formula>
    </cfRule>
  </conditionalFormatting>
  <printOptions/>
  <pageMargins bottom="0.75" footer="0.0" header="0.0" left="0.7" right="0.7" top="0.75"/>
  <pageSetup paperSize="9" orientation="portrait"/>
  <drawing r:id="rId2"/>
  <legacyDrawing r:id="rId3"/>
  <tableParts count="3">
    <tablePart r:id="rId7"/>
    <tablePart r:id="rId8"/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7.29"/>
    <col customWidth="1" min="3" max="3" width="16.14"/>
    <col customWidth="1" min="4" max="4" width="19.0"/>
    <col customWidth="1" min="5" max="24" width="10.71"/>
  </cols>
  <sheetData>
    <row r="1" ht="51.0" customHeight="1">
      <c r="A1" s="32"/>
      <c r="B1" s="33" t="s">
        <v>1</v>
      </c>
      <c r="C1" s="34" t="s">
        <v>91</v>
      </c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>
      <c r="B2" s="35" t="s">
        <v>58</v>
      </c>
      <c r="C2" s="36">
        <v>46126.0</v>
      </c>
    </row>
    <row r="3" ht="18.75" customHeight="1">
      <c r="B3" s="35" t="s">
        <v>59</v>
      </c>
      <c r="C3" s="37" t="s">
        <v>95</v>
      </c>
    </row>
    <row r="4">
      <c r="B4" s="35" t="s">
        <v>61</v>
      </c>
      <c r="C4" s="63" t="s">
        <v>96</v>
      </c>
    </row>
    <row r="5" ht="14.25" customHeight="1"/>
    <row r="6">
      <c r="A6" s="38" t="s">
        <v>62</v>
      </c>
    </row>
    <row r="7" ht="15.0" customHeight="1">
      <c r="A7" s="39" t="s">
        <v>63</v>
      </c>
      <c r="B7" s="40" t="s">
        <v>64</v>
      </c>
      <c r="C7" s="40" t="s">
        <v>65</v>
      </c>
      <c r="D7" s="41" t="s">
        <v>66</v>
      </c>
    </row>
    <row r="8">
      <c r="A8" s="42">
        <v>1.0</v>
      </c>
      <c r="B8" s="43" t="s">
        <v>67</v>
      </c>
      <c r="C8" s="44" t="s">
        <v>68</v>
      </c>
      <c r="D8" s="45"/>
    </row>
    <row r="9">
      <c r="A9" s="42">
        <v>2.0</v>
      </c>
      <c r="B9" s="43" t="s">
        <v>69</v>
      </c>
      <c r="C9" s="44"/>
      <c r="D9" s="47" t="s">
        <v>68</v>
      </c>
    </row>
    <row r="10">
      <c r="A10" s="42">
        <v>3.0</v>
      </c>
      <c r="B10" s="43" t="s">
        <v>70</v>
      </c>
      <c r="C10" s="44" t="s">
        <v>68</v>
      </c>
      <c r="D10" s="45"/>
    </row>
    <row r="11">
      <c r="A11" s="42">
        <v>4.0</v>
      </c>
      <c r="B11" s="43" t="s">
        <v>71</v>
      </c>
      <c r="C11" s="44" t="s">
        <v>68</v>
      </c>
      <c r="D11" s="45"/>
    </row>
    <row r="12">
      <c r="A12" s="42">
        <v>5.0</v>
      </c>
      <c r="B12" s="43" t="s">
        <v>72</v>
      </c>
      <c r="C12" s="44" t="s">
        <v>68</v>
      </c>
      <c r="D12" s="45"/>
    </row>
    <row r="13">
      <c r="A13" s="42">
        <v>6.0</v>
      </c>
      <c r="B13" s="43" t="s">
        <v>73</v>
      </c>
      <c r="C13" s="44" t="s">
        <v>68</v>
      </c>
      <c r="D13" s="45"/>
    </row>
    <row r="14">
      <c r="A14" s="42">
        <v>7.0</v>
      </c>
      <c r="B14" s="43" t="s">
        <v>74</v>
      </c>
      <c r="C14" s="44" t="s">
        <v>68</v>
      </c>
      <c r="D14" s="45"/>
    </row>
    <row r="15">
      <c r="A15" s="42">
        <v>8.0</v>
      </c>
      <c r="B15" s="43" t="s">
        <v>75</v>
      </c>
      <c r="C15" s="44" t="s">
        <v>68</v>
      </c>
      <c r="D15" s="45"/>
    </row>
    <row r="16">
      <c r="A16" s="48">
        <v>9.0</v>
      </c>
      <c r="B16" s="49" t="s">
        <v>76</v>
      </c>
      <c r="C16" s="50"/>
      <c r="D16" s="50" t="s">
        <v>68</v>
      </c>
    </row>
    <row r="17">
      <c r="A17" s="51" t="s">
        <v>77</v>
      </c>
      <c r="C17" s="22">
        <f>COUNTA('Hoja 3'!$C$8:$C$16)</f>
        <v>7</v>
      </c>
      <c r="D17" s="22">
        <f>COUNTA('Hoja 3'!$D$8:$D$16)</f>
        <v>2</v>
      </c>
    </row>
    <row r="18">
      <c r="A18" s="51" t="s">
        <v>78</v>
      </c>
      <c r="C18" s="52">
        <f t="shared" ref="C18:D18" si="1">C17/9</f>
        <v>0.7777777778</v>
      </c>
      <c r="D18" s="52">
        <f t="shared" si="1"/>
        <v>0.2222222222</v>
      </c>
    </row>
    <row r="19" ht="14.25" customHeight="1">
      <c r="A19" s="51"/>
      <c r="B19" s="51"/>
      <c r="C19" s="52"/>
      <c r="D19" s="22"/>
    </row>
    <row r="20">
      <c r="A20" s="53" t="s">
        <v>79</v>
      </c>
      <c r="B20" s="54"/>
      <c r="C20" s="54"/>
      <c r="D20" s="54"/>
    </row>
    <row r="21">
      <c r="A21" s="55" t="s">
        <v>63</v>
      </c>
      <c r="B21" s="56" t="s">
        <v>64</v>
      </c>
      <c r="C21" s="57" t="s">
        <v>65</v>
      </c>
      <c r="D21" s="58" t="s">
        <v>66</v>
      </c>
    </row>
    <row r="22">
      <c r="A22" s="42">
        <v>1.0</v>
      </c>
      <c r="B22" s="43" t="s">
        <v>80</v>
      </c>
      <c r="C22" s="50" t="s">
        <v>68</v>
      </c>
      <c r="D22" s="45"/>
    </row>
    <row r="23">
      <c r="A23" s="42">
        <v>2.0</v>
      </c>
      <c r="B23" s="43" t="s">
        <v>81</v>
      </c>
      <c r="C23" s="50" t="s">
        <v>68</v>
      </c>
      <c r="D23" s="45"/>
    </row>
    <row r="24">
      <c r="A24" s="42">
        <v>3.0</v>
      </c>
      <c r="B24" s="43" t="s">
        <v>82</v>
      </c>
      <c r="C24" s="50" t="s">
        <v>68</v>
      </c>
      <c r="D24" s="45"/>
    </row>
    <row r="25">
      <c r="A25" s="42">
        <v>4.0</v>
      </c>
      <c r="B25" s="43" t="s">
        <v>83</v>
      </c>
      <c r="C25" s="50" t="s">
        <v>68</v>
      </c>
      <c r="D25" s="45"/>
    </row>
    <row r="26">
      <c r="A26" s="48">
        <v>5.0</v>
      </c>
      <c r="B26" s="49" t="s">
        <v>84</v>
      </c>
      <c r="C26" s="50" t="s">
        <v>68</v>
      </c>
      <c r="D26" s="64"/>
    </row>
    <row r="27" ht="14.25" customHeight="1">
      <c r="A27" s="51" t="s">
        <v>77</v>
      </c>
      <c r="C27" s="22">
        <f>COUNTA('Hoja 3'!$C$22:$C$26)</f>
        <v>5</v>
      </c>
      <c r="D27" s="22">
        <f>COUNTA('Hoja 3'!$D$22:$D$26)</f>
        <v>0</v>
      </c>
    </row>
    <row r="28" ht="14.25" customHeight="1">
      <c r="A28" s="51" t="s">
        <v>78</v>
      </c>
      <c r="C28" s="52">
        <f t="shared" ref="C28:D28" si="2">C27/5</f>
        <v>1</v>
      </c>
      <c r="D28" s="52">
        <f t="shared" si="2"/>
        <v>0</v>
      </c>
    </row>
    <row r="29" ht="14.25" customHeight="1">
      <c r="A29" s="51"/>
      <c r="B29" s="51"/>
      <c r="C29" s="52"/>
      <c r="D29" s="22"/>
    </row>
    <row r="30">
      <c r="A30" s="38" t="s">
        <v>85</v>
      </c>
    </row>
    <row r="31" ht="14.25" customHeight="1">
      <c r="A31" s="55" t="s">
        <v>63</v>
      </c>
      <c r="B31" s="56" t="s">
        <v>64</v>
      </c>
      <c r="C31" s="57" t="s">
        <v>65</v>
      </c>
      <c r="D31" s="58" t="s">
        <v>66</v>
      </c>
    </row>
    <row r="32">
      <c r="A32" s="42">
        <v>1.0</v>
      </c>
      <c r="B32" s="43" t="s">
        <v>86</v>
      </c>
      <c r="C32" s="50" t="s">
        <v>68</v>
      </c>
      <c r="D32" s="50"/>
    </row>
    <row r="33">
      <c r="A33" s="42">
        <v>2.0</v>
      </c>
      <c r="B33" s="43" t="s">
        <v>87</v>
      </c>
      <c r="C33" s="50" t="s">
        <v>68</v>
      </c>
      <c r="D33" s="50"/>
    </row>
    <row r="34">
      <c r="A34" s="48">
        <v>3.0</v>
      </c>
      <c r="B34" s="49" t="s">
        <v>88</v>
      </c>
      <c r="C34" s="50" t="s">
        <v>68</v>
      </c>
      <c r="D34" s="50"/>
    </row>
    <row r="35" ht="14.25" customHeight="1">
      <c r="A35" s="51" t="s">
        <v>77</v>
      </c>
      <c r="C35" s="22">
        <f>COUNTA('Hoja 3'!$C$32:$C$34)</f>
        <v>3</v>
      </c>
      <c r="D35" s="22">
        <f>COUNTA('Hoja 3'!$D$32:$D$34)</f>
        <v>0</v>
      </c>
    </row>
    <row r="36" ht="14.25" customHeight="1">
      <c r="A36" s="51" t="s">
        <v>78</v>
      </c>
      <c r="C36" s="52">
        <f t="shared" ref="C36:D36" si="3">C35/3</f>
        <v>1</v>
      </c>
      <c r="D36" s="52">
        <f t="shared" si="3"/>
        <v>0</v>
      </c>
    </row>
    <row r="37" ht="14.25" customHeight="1"/>
    <row r="38" ht="14.25" customHeight="1"/>
    <row r="39" ht="14.25" customHeight="1"/>
    <row r="40" ht="14.25" customHeight="1">
      <c r="A40" s="61" t="s">
        <v>89</v>
      </c>
    </row>
    <row r="41" ht="30.0" customHeight="1">
      <c r="B41" s="32" t="s">
        <v>90</v>
      </c>
      <c r="C41" s="62">
        <v>78.0</v>
      </c>
    </row>
    <row r="42" ht="30.0" customHeight="1">
      <c r="B42" s="32" t="s">
        <v>79</v>
      </c>
      <c r="C42" s="22">
        <v>100.0</v>
      </c>
    </row>
    <row r="43" ht="30.0" customHeight="1">
      <c r="B43" s="32" t="s">
        <v>85</v>
      </c>
      <c r="C43" s="22">
        <v>100.0</v>
      </c>
    </row>
    <row r="44" ht="14.25" customHeight="1">
      <c r="C44" s="22"/>
    </row>
    <row r="45" ht="14.25" customHeight="1">
      <c r="C45" s="22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18:B18"/>
    <mergeCell ref="A27:B27"/>
    <mergeCell ref="A28:B28"/>
    <mergeCell ref="A30:D30"/>
    <mergeCell ref="A35:B35"/>
    <mergeCell ref="A36:B36"/>
    <mergeCell ref="A40:C40"/>
    <mergeCell ref="C1:D1"/>
    <mergeCell ref="C2:D2"/>
    <mergeCell ref="C3:D3"/>
    <mergeCell ref="C4:D4"/>
    <mergeCell ref="A6:D6"/>
    <mergeCell ref="A17:B17"/>
    <mergeCell ref="A20:D20"/>
  </mergeCells>
  <conditionalFormatting sqref="A32:D34">
    <cfRule type="containsText" dxfId="8" priority="1" operator="containsText" text="X">
      <formula>NOT(ISERROR(SEARCH(("X"),(A32))))</formula>
    </cfRule>
  </conditionalFormatting>
  <conditionalFormatting sqref="C8:D16 C22:C26 C32:D34">
    <cfRule type="containsText" dxfId="9" priority="2" operator="containsText" text="X">
      <formula>NOT(ISERROR(SEARCH(("X"),(C8))))</formula>
    </cfRule>
  </conditionalFormatting>
  <conditionalFormatting sqref="C8:D16 C22:C26 C32:D34">
    <cfRule type="containsText" dxfId="10" priority="3" operator="containsText" text="X">
      <formula>NOT(ISERROR(SEARCH(("X"),(C8))))</formula>
    </cfRule>
  </conditionalFormatting>
  <conditionalFormatting sqref="C8:D16 C22:C26 C32:D34">
    <cfRule type="containsText" dxfId="11" priority="4" operator="containsText" text="X">
      <formula>NOT(ISERROR(SEARCH(("X"),(C8))))</formula>
    </cfRule>
  </conditionalFormatting>
  <conditionalFormatting sqref="C8:D16 C22:C26 C32:D34">
    <cfRule type="containsText" dxfId="12" priority="5" operator="containsText" text="X">
      <formula>NOT(ISERROR(SEARCH(("X"),(C8))))</formula>
    </cfRule>
  </conditionalFormatting>
  <conditionalFormatting sqref="C22:D26">
    <cfRule type="containsText" dxfId="9" priority="6" operator="containsText" text="X">
      <formula>NOT(ISERROR(SEARCH(("X"),(C22))))</formula>
    </cfRule>
  </conditionalFormatting>
  <conditionalFormatting sqref="C22:D26">
    <cfRule type="containsText" dxfId="10" priority="7" operator="containsText" text="X">
      <formula>NOT(ISERROR(SEARCH(("X"),(C22))))</formula>
    </cfRule>
  </conditionalFormatting>
  <conditionalFormatting sqref="C32:D34">
    <cfRule type="containsText" dxfId="9" priority="8" operator="containsText" text="X">
      <formula>NOT(ISERROR(SEARCH(("X"),(C32))))</formula>
    </cfRule>
  </conditionalFormatting>
  <printOptions/>
  <pageMargins bottom="0.75" footer="0.0" header="0.0" left="0.7" right="0.7" top="0.75"/>
  <pageSetup paperSize="9" orientation="portrait"/>
  <drawing r:id="rId2"/>
  <legacyDrawing r:id="rId3"/>
  <tableParts count="3">
    <tablePart r:id="rId7"/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7.29"/>
    <col customWidth="1" min="3" max="3" width="16.14"/>
    <col customWidth="1" min="4" max="4" width="21.71"/>
    <col customWidth="1" min="5" max="24" width="10.71"/>
  </cols>
  <sheetData>
    <row r="1" ht="51.0" customHeight="1">
      <c r="A1" s="32"/>
      <c r="B1" s="33" t="s">
        <v>1</v>
      </c>
      <c r="C1" s="34" t="s">
        <v>91</v>
      </c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ht="14.25" customHeight="1">
      <c r="B2" s="35" t="s">
        <v>58</v>
      </c>
      <c r="C2" s="36">
        <v>46126.0</v>
      </c>
    </row>
    <row r="3">
      <c r="B3" s="35" t="s">
        <v>59</v>
      </c>
      <c r="C3" s="37" t="s">
        <v>97</v>
      </c>
    </row>
    <row r="4" ht="45.0" customHeight="1">
      <c r="B4" s="35" t="s">
        <v>61</v>
      </c>
      <c r="C4" s="63" t="s">
        <v>98</v>
      </c>
    </row>
    <row r="5" ht="14.25" customHeight="1"/>
    <row r="6">
      <c r="A6" s="38" t="s">
        <v>62</v>
      </c>
    </row>
    <row r="7" ht="15.0" customHeight="1">
      <c r="A7" s="39" t="s">
        <v>63</v>
      </c>
      <c r="B7" s="40" t="s">
        <v>64</v>
      </c>
      <c r="C7" s="40" t="s">
        <v>65</v>
      </c>
      <c r="D7" s="41" t="s">
        <v>66</v>
      </c>
    </row>
    <row r="8">
      <c r="A8" s="42">
        <v>1.0</v>
      </c>
      <c r="B8" s="43" t="s">
        <v>67</v>
      </c>
      <c r="C8" s="44" t="s">
        <v>68</v>
      </c>
      <c r="D8" s="45"/>
    </row>
    <row r="9">
      <c r="A9" s="42">
        <v>2.0</v>
      </c>
      <c r="B9" s="43" t="s">
        <v>69</v>
      </c>
      <c r="C9" s="44"/>
      <c r="D9" s="47" t="s">
        <v>68</v>
      </c>
    </row>
    <row r="10">
      <c r="A10" s="42">
        <v>3.0</v>
      </c>
      <c r="B10" s="43" t="s">
        <v>70</v>
      </c>
      <c r="C10" s="45"/>
      <c r="D10" s="47" t="s">
        <v>68</v>
      </c>
    </row>
    <row r="11">
      <c r="A11" s="42">
        <v>4.0</v>
      </c>
      <c r="B11" s="43" t="s">
        <v>71</v>
      </c>
      <c r="C11" s="44" t="s">
        <v>68</v>
      </c>
      <c r="D11" s="45"/>
    </row>
    <row r="12">
      <c r="A12" s="42">
        <v>5.0</v>
      </c>
      <c r="B12" s="43" t="s">
        <v>72</v>
      </c>
      <c r="C12" s="44" t="s">
        <v>68</v>
      </c>
      <c r="D12" s="45"/>
    </row>
    <row r="13">
      <c r="A13" s="42">
        <v>6.0</v>
      </c>
      <c r="B13" s="43" t="s">
        <v>73</v>
      </c>
      <c r="C13" s="44" t="s">
        <v>68</v>
      </c>
      <c r="D13" s="45"/>
    </row>
    <row r="14">
      <c r="A14" s="42">
        <v>7.0</v>
      </c>
      <c r="B14" s="43" t="s">
        <v>74</v>
      </c>
      <c r="C14" s="44" t="s">
        <v>68</v>
      </c>
      <c r="D14" s="45"/>
    </row>
    <row r="15">
      <c r="A15" s="42">
        <v>8.0</v>
      </c>
      <c r="B15" s="43" t="s">
        <v>75</v>
      </c>
      <c r="C15" s="44" t="s">
        <v>68</v>
      </c>
      <c r="D15" s="45"/>
    </row>
    <row r="16">
      <c r="A16" s="48">
        <v>9.0</v>
      </c>
      <c r="B16" s="49" t="s">
        <v>76</v>
      </c>
      <c r="C16" s="50"/>
      <c r="D16" s="50" t="s">
        <v>68</v>
      </c>
    </row>
    <row r="17">
      <c r="A17" s="51" t="s">
        <v>77</v>
      </c>
      <c r="C17" s="22">
        <f>COUNTA('Hoja 4'!$C$8:$C$16)</f>
        <v>6</v>
      </c>
      <c r="D17" s="22">
        <f>COUNTA('Hoja 4'!$D$8:$D$16)</f>
        <v>3</v>
      </c>
    </row>
    <row r="18">
      <c r="A18" s="51" t="s">
        <v>78</v>
      </c>
      <c r="C18" s="52">
        <f t="shared" ref="C18:D18" si="1">C17/9</f>
        <v>0.6666666667</v>
      </c>
      <c r="D18" s="52">
        <f t="shared" si="1"/>
        <v>0.3333333333</v>
      </c>
    </row>
    <row r="19" ht="14.25" customHeight="1">
      <c r="A19" s="51"/>
      <c r="B19" s="51"/>
      <c r="C19" s="52"/>
      <c r="D19" s="22"/>
    </row>
    <row r="20">
      <c r="A20" s="53" t="s">
        <v>79</v>
      </c>
      <c r="B20" s="54"/>
      <c r="C20" s="54"/>
      <c r="D20" s="54"/>
    </row>
    <row r="21">
      <c r="A21" s="55" t="s">
        <v>63</v>
      </c>
      <c r="B21" s="56" t="s">
        <v>64</v>
      </c>
      <c r="C21" s="57" t="s">
        <v>65</v>
      </c>
      <c r="D21" s="58" t="s">
        <v>66</v>
      </c>
    </row>
    <row r="22">
      <c r="A22" s="42">
        <v>1.0</v>
      </c>
      <c r="B22" s="43" t="s">
        <v>80</v>
      </c>
      <c r="C22" s="50" t="s">
        <v>68</v>
      </c>
      <c r="D22" s="45"/>
    </row>
    <row r="23">
      <c r="A23" s="42">
        <v>2.0</v>
      </c>
      <c r="B23" s="43" t="s">
        <v>81</v>
      </c>
      <c r="C23" s="50" t="s">
        <v>68</v>
      </c>
      <c r="D23" s="45"/>
    </row>
    <row r="24">
      <c r="A24" s="42">
        <v>3.0</v>
      </c>
      <c r="B24" s="43" t="s">
        <v>82</v>
      </c>
      <c r="C24" s="50" t="s">
        <v>68</v>
      </c>
      <c r="D24" s="45"/>
    </row>
    <row r="25">
      <c r="A25" s="42">
        <v>4.0</v>
      </c>
      <c r="B25" s="43" t="s">
        <v>83</v>
      </c>
      <c r="C25" s="50" t="s">
        <v>68</v>
      </c>
      <c r="D25" s="45"/>
    </row>
    <row r="26">
      <c r="A26" s="48">
        <v>5.0</v>
      </c>
      <c r="B26" s="49" t="s">
        <v>84</v>
      </c>
      <c r="C26" s="64"/>
      <c r="D26" s="50" t="s">
        <v>68</v>
      </c>
    </row>
    <row r="27" ht="14.25" customHeight="1">
      <c r="A27" s="51" t="s">
        <v>77</v>
      </c>
      <c r="C27" s="22">
        <f>COUNTA('Hoja 4'!$C$22:$C$26)</f>
        <v>4</v>
      </c>
      <c r="D27" s="22">
        <f>COUNTA('Hoja 4'!$D$22:$D$26)</f>
        <v>1</v>
      </c>
    </row>
    <row r="28" ht="14.25" customHeight="1">
      <c r="A28" s="51" t="s">
        <v>78</v>
      </c>
      <c r="C28" s="52">
        <f t="shared" ref="C28:D28" si="2">C27/5</f>
        <v>0.8</v>
      </c>
      <c r="D28" s="52">
        <f t="shared" si="2"/>
        <v>0.2</v>
      </c>
    </row>
    <row r="29" ht="14.25" customHeight="1">
      <c r="A29" s="51"/>
      <c r="B29" s="51"/>
      <c r="C29" s="52"/>
      <c r="D29" s="22"/>
    </row>
    <row r="30">
      <c r="A30" s="38" t="s">
        <v>85</v>
      </c>
    </row>
    <row r="31" ht="14.25" customHeight="1">
      <c r="A31" s="55" t="s">
        <v>63</v>
      </c>
      <c r="B31" s="56" t="s">
        <v>64</v>
      </c>
      <c r="C31" s="57" t="s">
        <v>65</v>
      </c>
      <c r="D31" s="58" t="s">
        <v>66</v>
      </c>
    </row>
    <row r="32">
      <c r="A32" s="42">
        <v>1.0</v>
      </c>
      <c r="B32" s="43" t="s">
        <v>86</v>
      </c>
      <c r="C32" s="50" t="s">
        <v>68</v>
      </c>
      <c r="D32" s="50"/>
    </row>
    <row r="33">
      <c r="A33" s="42">
        <v>2.0</v>
      </c>
      <c r="B33" s="43" t="s">
        <v>87</v>
      </c>
      <c r="C33" s="50" t="s">
        <v>68</v>
      </c>
      <c r="D33" s="50"/>
    </row>
    <row r="34">
      <c r="A34" s="48">
        <v>3.0</v>
      </c>
      <c r="B34" s="49" t="s">
        <v>88</v>
      </c>
      <c r="C34" s="50" t="s">
        <v>68</v>
      </c>
      <c r="D34" s="50"/>
    </row>
    <row r="35" ht="14.25" customHeight="1">
      <c r="A35" s="51" t="s">
        <v>77</v>
      </c>
      <c r="C35" s="22">
        <f>COUNTA('Hoja 4'!$C$32:$C$34)</f>
        <v>3</v>
      </c>
      <c r="D35" s="22">
        <f>COUNTA('Hoja 4'!$D$32:$D$34)</f>
        <v>0</v>
      </c>
    </row>
    <row r="36" ht="14.25" customHeight="1">
      <c r="A36" s="51" t="s">
        <v>78</v>
      </c>
      <c r="C36" s="52">
        <f t="shared" ref="C36:D36" si="3">C35/3</f>
        <v>1</v>
      </c>
      <c r="D36" s="52">
        <f t="shared" si="3"/>
        <v>0</v>
      </c>
    </row>
    <row r="37" ht="14.25" customHeight="1"/>
    <row r="38" ht="14.25" customHeight="1"/>
    <row r="39" ht="14.25" customHeight="1"/>
    <row r="40" ht="14.25" customHeight="1">
      <c r="A40" s="61" t="s">
        <v>89</v>
      </c>
    </row>
    <row r="41" ht="30.0" customHeight="1">
      <c r="B41" s="32" t="s">
        <v>90</v>
      </c>
      <c r="C41" s="62">
        <v>67.0</v>
      </c>
    </row>
    <row r="42" ht="30.0" customHeight="1">
      <c r="B42" s="32" t="s">
        <v>79</v>
      </c>
      <c r="C42" s="62">
        <v>80.0</v>
      </c>
    </row>
    <row r="43" ht="30.0" customHeight="1">
      <c r="B43" s="32" t="s">
        <v>85</v>
      </c>
      <c r="C43" s="22">
        <v>100.0</v>
      </c>
    </row>
    <row r="44" ht="14.25" customHeight="1">
      <c r="C44" s="22"/>
    </row>
    <row r="45" ht="14.25" customHeight="1">
      <c r="C45" s="22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18:B18"/>
    <mergeCell ref="A27:B27"/>
    <mergeCell ref="A28:B28"/>
    <mergeCell ref="A30:D30"/>
    <mergeCell ref="A35:B35"/>
    <mergeCell ref="A36:B36"/>
    <mergeCell ref="A40:C40"/>
    <mergeCell ref="C1:D1"/>
    <mergeCell ref="C2:D2"/>
    <mergeCell ref="C3:D3"/>
    <mergeCell ref="C4:D4"/>
    <mergeCell ref="A6:D6"/>
    <mergeCell ref="A17:B17"/>
    <mergeCell ref="A20:D20"/>
  </mergeCells>
  <conditionalFormatting sqref="A32:D34">
    <cfRule type="containsText" dxfId="8" priority="1" operator="containsText" text="X">
      <formula>NOT(ISERROR(SEARCH(("X"),(A32))))</formula>
    </cfRule>
  </conditionalFormatting>
  <conditionalFormatting sqref="C8:D16 C22:C26 D26 C32:D34">
    <cfRule type="containsText" dxfId="9" priority="2" operator="containsText" text="X">
      <formula>NOT(ISERROR(SEARCH(("X"),(C8))))</formula>
    </cfRule>
  </conditionalFormatting>
  <conditionalFormatting sqref="C8:D16 C22:C26 D26 C32:D34">
    <cfRule type="containsText" dxfId="10" priority="3" operator="containsText" text="X">
      <formula>NOT(ISERROR(SEARCH(("X"),(C8))))</formula>
    </cfRule>
  </conditionalFormatting>
  <conditionalFormatting sqref="C8:D16 C22:C26 D26 C32:D34">
    <cfRule type="containsText" dxfId="11" priority="4" operator="containsText" text="X">
      <formula>NOT(ISERROR(SEARCH(("X"),(C8))))</formula>
    </cfRule>
  </conditionalFormatting>
  <conditionalFormatting sqref="C8:D16 C22:C26 D26 C32:D34">
    <cfRule type="containsText" dxfId="12" priority="5" operator="containsText" text="X">
      <formula>NOT(ISERROR(SEARCH(("X"),(C8))))</formula>
    </cfRule>
  </conditionalFormatting>
  <conditionalFormatting sqref="C22:D26">
    <cfRule type="containsText" dxfId="9" priority="6" operator="containsText" text="X">
      <formula>NOT(ISERROR(SEARCH(("X"),(C22))))</formula>
    </cfRule>
  </conditionalFormatting>
  <conditionalFormatting sqref="C22:D26">
    <cfRule type="containsText" dxfId="10" priority="7" operator="containsText" text="X">
      <formula>NOT(ISERROR(SEARCH(("X"),(C22))))</formula>
    </cfRule>
  </conditionalFormatting>
  <conditionalFormatting sqref="C32:D34">
    <cfRule type="containsText" dxfId="9" priority="8" operator="containsText" text="X">
      <formula>NOT(ISERROR(SEARCH(("X"),(C32))))</formula>
    </cfRule>
  </conditionalFormatting>
  <printOptions/>
  <pageMargins bottom="0.75" footer="0.0" header="0.0" left="0.7" right="0.7" top="0.75"/>
  <pageSetup paperSize="9" orientation="portrait"/>
  <drawing r:id="rId2"/>
  <legacyDrawing r:id="rId3"/>
  <tableParts count="3">
    <tablePart r:id="rId7"/>
    <tablePart r:id="rId8"/>
    <tablePart r:id="rId9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6.0"/>
    <col customWidth="1" min="2" max="2" width="57.29"/>
    <col customWidth="1" min="3" max="6" width="10.71"/>
  </cols>
  <sheetData>
    <row r="1" ht="14.25" customHeight="1">
      <c r="A1" s="65" t="s">
        <v>99</v>
      </c>
      <c r="B1" s="65" t="s">
        <v>100</v>
      </c>
    </row>
    <row r="2" ht="58.5" customHeight="1">
      <c r="A2" s="66" t="s">
        <v>101</v>
      </c>
      <c r="B2" s="66" t="s">
        <v>102</v>
      </c>
      <c r="C2" s="67" t="s">
        <v>103</v>
      </c>
      <c r="D2" s="10"/>
    </row>
    <row r="3" ht="68.25" customHeight="1">
      <c r="A3" s="68" t="s">
        <v>104</v>
      </c>
      <c r="B3" s="66" t="s">
        <v>105</v>
      </c>
      <c r="C3" s="15"/>
      <c r="D3" s="16"/>
    </row>
    <row r="4" ht="57.0" customHeight="1">
      <c r="A4" s="69" t="s">
        <v>106</v>
      </c>
      <c r="B4" s="69" t="s">
        <v>107</v>
      </c>
      <c r="C4" s="67" t="s">
        <v>108</v>
      </c>
      <c r="D4" s="10"/>
    </row>
    <row r="5" ht="56.25" customHeight="1">
      <c r="A5" s="69" t="s">
        <v>109</v>
      </c>
      <c r="B5" s="69" t="s">
        <v>110</v>
      </c>
      <c r="C5" s="70"/>
      <c r="D5" s="71"/>
    </row>
    <row r="6" ht="93.0" customHeight="1">
      <c r="A6" s="69" t="s">
        <v>111</v>
      </c>
      <c r="B6" s="69" t="s">
        <v>112</v>
      </c>
      <c r="C6" s="15"/>
      <c r="D6" s="16"/>
    </row>
    <row r="7" ht="42.75" customHeight="1">
      <c r="A7" s="66" t="s">
        <v>113</v>
      </c>
      <c r="B7" s="66" t="s">
        <v>114</v>
      </c>
      <c r="C7" s="67" t="s">
        <v>115</v>
      </c>
      <c r="D7" s="10"/>
    </row>
    <row r="8" ht="42.75" customHeight="1">
      <c r="A8" s="66" t="s">
        <v>116</v>
      </c>
      <c r="B8" s="66" t="s">
        <v>117</v>
      </c>
      <c r="C8" s="70"/>
      <c r="D8" s="71"/>
    </row>
    <row r="9" ht="56.25" customHeight="1">
      <c r="A9" s="66" t="s">
        <v>118</v>
      </c>
      <c r="B9" s="66" t="s">
        <v>119</v>
      </c>
      <c r="C9" s="15"/>
      <c r="D9" s="16"/>
    </row>
    <row r="10" ht="57.0" customHeight="1">
      <c r="A10" s="66" t="s">
        <v>120</v>
      </c>
      <c r="B10" s="66" t="s">
        <v>121</v>
      </c>
      <c r="C10" s="67" t="s">
        <v>122</v>
      </c>
      <c r="D10" s="10"/>
    </row>
    <row r="11" ht="59.25" customHeight="1">
      <c r="A11" s="68" t="s">
        <v>123</v>
      </c>
      <c r="B11" s="66" t="s">
        <v>124</v>
      </c>
      <c r="C11" s="70"/>
      <c r="D11" s="71"/>
    </row>
    <row r="12" ht="57.0" customHeight="1">
      <c r="A12" s="68" t="s">
        <v>125</v>
      </c>
      <c r="B12" s="66" t="s">
        <v>126</v>
      </c>
      <c r="C12" s="15"/>
      <c r="D12" s="16"/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4">
    <mergeCell ref="C2:D3"/>
    <mergeCell ref="C4:D6"/>
    <mergeCell ref="C7:D9"/>
    <mergeCell ref="C10:D12"/>
  </mergeCells>
  <printOptions/>
  <pageMargins bottom="0.75" footer="0.0" header="0.0" left="0.7" right="0.7" top="0.75"/>
  <pageSetup orientation="landscape"/>
  <drawing r:id="rId1"/>
</worksheet>
</file>
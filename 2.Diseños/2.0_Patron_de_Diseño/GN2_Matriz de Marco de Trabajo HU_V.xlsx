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  <extLst>
    <ext uri="GoogleSheetsCustomDataVersion2">
      <go:sheetsCustomData xmlns:go="http://customooxmlschemas.google.com/" r:id="rId6" roundtripDataChecksum="DNGkBTMA7r/+PxmOhB9lRm6CfgtH2Hn0zJgcueEAPYk="/>
    </ext>
  </extLst>
</workbook>
</file>

<file path=xl/sharedStrings.xml><?xml version="1.0" encoding="utf-8"?>
<sst xmlns="http://schemas.openxmlformats.org/spreadsheetml/2006/main" count="196" uniqueCount="110">
  <si>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</si>
  <si>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</si>
  <si>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</si>
  <si>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</si>
  <si>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</si>
  <si>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</si>
  <si>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</si>
  <si>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</si>
  <si>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</si>
  <si>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</si>
  <si>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</si>
  <si>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</si>
  <si>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</si>
  <si>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</si>
  <si>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</si>
  <si>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RQ-01</t>
  </si>
  <si>
    <t>Gestión de clases y horarios</t>
  </si>
  <si>
    <t>Administrar la planificación de clases del gimnasio</t>
  </si>
  <si>
    <t>Organizar horarios, cupos y entrenadores</t>
  </si>
  <si>
    <t>Administrador</t>
  </si>
  <si>
    <t>El sistema debe permitir al administrador planificar y gestionar las clases del gimnasio mediante la creación, modificación y eliminación de horarios. Además, debe posibilitar la asignación de entrenadores, el control de cupos disponibles y la prevención de conflictos de horarios para garantizar una correcta organización de las actividades deportivas.</t>
  </si>
  <si>
    <t>Josué Solano</t>
  </si>
  <si>
    <t>Alta</t>
  </si>
  <si>
    <t>En proceso</t>
  </si>
  <si>
    <t xml:space="preserve">Verificar que el administrador pueda crear nuevas clases ingresando horario, duración, cupo y entrenador asignado. </t>
  </si>
  <si>
    <t>RQ-02</t>
  </si>
  <si>
    <t>Gestión de membresías y pagos</t>
  </si>
  <si>
    <t>Controlar membresías y estados de pago</t>
  </si>
  <si>
    <t>Gestionar ingresos y acceso de atletas</t>
  </si>
  <si>
    <t xml:space="preserve"> Administrar los diferentes tipos de membresías ofrecidas por el gimnasio, controlar los estados de pago de los atletas, registrar transacciones, gestionar renovaciones y monitorear vencimientos para garantizar el acceso adecuado a los servicios contratados.</t>
  </si>
  <si>
    <t>Alexander Toapanta</t>
  </si>
  <si>
    <t>Verificar la creación y configuración de membresías, el registro correcto de pagos, la actualización automática del estado de membresía después de una transacción, la notificación de vencimientos y la correcta renovación de planes contratados.</t>
  </si>
  <si>
    <t>RQ-03</t>
  </si>
  <si>
    <t>Gestión de usuarios</t>
  </si>
  <si>
    <t>Administrar cuentas y roles del sistema</t>
  </si>
  <si>
    <t>Controlar acceso y permisos</t>
  </si>
  <si>
    <t>El sistema debe proporcionar mecanismos para administrar las cuentas de administradores, entrenadores y atletas, permitiendo registrar, modificar, desactivar o reactivar usuarios, además de asignar roles y permisos específicos según las funciones que desempeñan dentro del gimnasio.</t>
  </si>
  <si>
    <t>Julio Blacio</t>
  </si>
  <si>
    <t>Verificar que se puedan crear, editar y desactivar usuarios. Comprobar que los roles y permisos asignados restrinjan o habiliten correctamente el acceso a las funcionalidades correspondientes, garantizando la seguridad y control de acceso del sistema.</t>
  </si>
  <si>
    <t>RQ-04</t>
  </si>
  <si>
    <t>Seguimiento del progreso deportivo</t>
  </si>
  <si>
    <t>Monitorear rendimiento de los atletas</t>
  </si>
  <si>
    <t>Mejorar el entrenamiento y evaluación</t>
  </si>
  <si>
    <t>Entrenador</t>
  </si>
  <si>
    <t>Permitir que los entrenadores y atletas registren, consulten y analizen los resultados obtenidos en los entrenamientos, incluyendo métricas como tiempos, repeticiones, pesos levantados y resultados de WODs, facilitando el monitoreo de la evolución deportiva y la toma de decisiones para mejorar el rendimiento.</t>
  </si>
  <si>
    <t>Kenned Sigcha</t>
  </si>
  <si>
    <t>Verificar el registro de resultados de entrenamiento, la consulta del historial de progreso, la visualización de métricas almacenadas y la generación de información que permita analizar la evolución del rendimiento de cada atleta a lo largo del tiempo.</t>
  </si>
  <si>
    <t>RQ-05</t>
  </si>
  <si>
    <t>Comunicación entre entrenadores y atletas</t>
  </si>
  <si>
    <t>Facilitar la comunicación interna</t>
  </si>
  <si>
    <t>Mejorar la interacción y seguimiento deportivo</t>
  </si>
  <si>
    <t>Crear mensajes, enviar anuncios y consultar historial de comunicaciones</t>
  </si>
  <si>
    <t>Verificar el envío, recepción y visualización de mensajes entre usuarios.</t>
  </si>
  <si>
    <t>Puede ampliarse posteriormente con notificaciones en tiempo real o correo electrónico.</t>
  </si>
  <si>
    <t>Comunicación con atletas</t>
  </si>
  <si>
    <t>RQ-06</t>
  </si>
  <si>
    <t>Generación de reportes administrativos</t>
  </si>
  <si>
    <t>Obtener información consolidada del gimnasio</t>
  </si>
  <si>
    <t>Apoyar la toma de decisiones</t>
  </si>
  <si>
    <t>Generar reportes de asistencia, pagos y membresías</t>
  </si>
  <si>
    <t>Verificar la generación correcta de reportes y exportación de información.</t>
  </si>
  <si>
    <t>Requiere información proveniente de los módulos de usuarios, pagos y reservas.</t>
  </si>
  <si>
    <t>Reportes administrativos</t>
  </si>
  <si>
    <t>RQ-07</t>
  </si>
  <si>
    <t>Integración con aplicaciones de salud</t>
  </si>
  <si>
    <t>Sincronizar información deportiva automáticamente</t>
  </si>
  <si>
    <t>Automatizar el seguimiento físico de los atletas</t>
  </si>
  <si>
    <t>Atleta</t>
  </si>
  <si>
    <t>Conectar aplicaciones externas y sincronizar datos biométricos</t>
  </si>
  <si>
    <t xml:space="preserve">Media </t>
  </si>
  <si>
    <t>Verificar la importación correcta de datos desde Google Fit, Samsung Health o Apple Health.</t>
  </si>
  <si>
    <t>Riesgo asociado a cambios en APIs externas y restricciones de acceso de terceros.</t>
  </si>
  <si>
    <t>RQ-08</t>
  </si>
  <si>
    <t>Gestión de noticias y anuncios</t>
  </si>
  <si>
    <t>Mantener informados a los usuarios</t>
  </si>
  <si>
    <t>Mejorar la comunicación institucional</t>
  </si>
  <si>
    <t>Crear, editar y publicar noticias o anuncios</t>
  </si>
  <si>
    <t>Verificar la publicación y visualización de noticias en los paneles de usuario.</t>
  </si>
  <si>
    <t>Funcionalidad complementaria orientada a mejorar la experiencia de los usuarios.</t>
  </si>
  <si>
    <t>RQ-09</t>
  </si>
  <si>
    <t>Exportación de información</t>
  </si>
  <si>
    <t>Facilitar el análisis y respaldo de datos</t>
  </si>
  <si>
    <t>Permitir compartir información fuera del sistema</t>
  </si>
  <si>
    <t>Exportar reportes y registros en PDF y CSV</t>
  </si>
  <si>
    <t>Verificar la generación y descarga correcta de archivos PDF y CSV.</t>
  </si>
  <si>
    <t>Depende de la correcta implementación de los módulos de reportes y consultas.</t>
  </si>
  <si>
    <t>RQ-10</t>
  </si>
  <si>
    <t>Dashboard de indicadores</t>
  </si>
  <si>
    <t>Visualizar métricas clave del gimnasio</t>
  </si>
  <si>
    <t>Apoyar la gestión administrativa</t>
  </si>
  <si>
    <t>Mostrar estadísticas de membresías, asistencia e ingresos</t>
  </si>
  <si>
    <t>Verificar la visualización correcta de indicadores y actualización de métricas.</t>
  </si>
  <si>
    <t>Requiere datos consolidados provenientes de todos los módulos principales del sistema.</t>
  </si>
  <si>
    <t>.</t>
  </si>
  <si>
    <t>No iniciado</t>
  </si>
  <si>
    <t>Baja</t>
  </si>
  <si>
    <t>Terminado</t>
  </si>
  <si>
    <t>Atrasado</t>
  </si>
  <si>
    <t>HISTORIA DE USUARIO (HU) RQ-01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</si>
  <si>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</si>
  <si>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</si>
  <si>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</si>
  <si>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</si>
  <si>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</si>
  <si>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</si>
  <si>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</si>
  <si>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</si>
  <si>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HISTORIA DE USUARIO (HU) RQ-02</t>
  </si>
  <si>
    <t>HISTORIA DE USUARIO (HU) RQ-03</t>
  </si>
  <si>
    <t>HISTORIA DE USUARIO (HU) RQ-04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</si>
</sst>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yyyy\-mm\-dd"/>
  </numFmts>
  <fonts count="18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color theme="1"/>
      <name val="Arial"/>
      <scheme val="minor"/>
    </font>
    <font>
      <b/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/>
      <right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right/>
      <top/>
      <bottom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readingOrder="0" shrinkToFit="0" vertical="center" wrapText="1"/>
    </xf>
    <xf borderId="4" fillId="3" fontId="5" numFmtId="164" xfId="0" applyAlignment="1" applyBorder="1" applyFont="1" applyNumberFormat="1">
      <alignment horizontal="center" shrinkToFit="0" vertical="center" wrapText="1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5" fillId="4" fontId="1" numFmtId="0" xfId="0" applyBorder="1" applyFont="1"/>
    <xf borderId="4" fillId="3" fontId="6" numFmtId="0" xfId="0" applyAlignment="1" applyBorder="1" applyFont="1">
      <alignment horizontal="center" readingOrder="0" shrinkToFit="0" vertical="center" wrapText="1"/>
    </xf>
    <xf borderId="4" fillId="3" fontId="5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6" fillId="3" fontId="1" numFmtId="0" xfId="0" applyBorder="1" applyFont="1"/>
    <xf borderId="7" fillId="3" fontId="5" numFmtId="0" xfId="0" applyAlignment="1" applyBorder="1" applyFont="1">
      <alignment vertical="center"/>
    </xf>
    <xf borderId="7" fillId="3" fontId="5" numFmtId="0" xfId="0" applyAlignment="1" applyBorder="1" applyFont="1">
      <alignment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7" fillId="3" fontId="5" numFmtId="165" xfId="0" applyAlignment="1" applyBorder="1" applyFont="1" applyNumberFormat="1">
      <alignment horizontal="center" shrinkToFit="0" vertical="center" wrapText="1"/>
    </xf>
    <xf borderId="7" fillId="4" fontId="7" numFmtId="0" xfId="0" applyAlignment="1" applyBorder="1" applyFont="1">
      <alignment horizontal="left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/>
    </xf>
    <xf borderId="5" fillId="3" fontId="7" numFmtId="0" xfId="0" applyAlignment="1" applyBorder="1" applyFont="1">
      <alignment horizontal="left"/>
    </xf>
    <xf borderId="5" fillId="3" fontId="7" numFmtId="0" xfId="0" applyAlignment="1" applyBorder="1" applyFont="1">
      <alignment horizont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8" fillId="5" fontId="11" numFmtId="0" xfId="0" applyBorder="1" applyFont="1"/>
    <xf borderId="9" fillId="5" fontId="8" numFmtId="0" xfId="0" applyAlignment="1" applyBorder="1" applyFont="1">
      <alignment horizontal="left" shrinkToFit="0" vertical="center" wrapText="1"/>
    </xf>
    <xf borderId="9" fillId="5" fontId="9" numFmtId="0" xfId="0" applyBorder="1" applyFont="1"/>
    <xf borderId="9" fillId="5" fontId="11" numFmtId="0" xfId="0" applyBorder="1" applyFont="1"/>
    <xf borderId="10" fillId="5" fontId="11" numFmtId="0" xfId="0" applyBorder="1" applyFont="1"/>
    <xf borderId="11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5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5" fillId="5" fontId="11" numFmtId="0" xfId="0" applyBorder="1" applyFont="1"/>
    <xf borderId="12" fillId="5" fontId="11" numFmtId="0" xfId="0" applyBorder="1" applyFont="1"/>
    <xf borderId="4" fillId="3" fontId="14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vertical="center"/>
    </xf>
    <xf borderId="5" fillId="5" fontId="14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13" fillId="7" fontId="12" numFmtId="0" xfId="0" applyAlignment="1" applyBorder="1" applyFill="1" applyFont="1">
      <alignment horizontal="center" vertical="center"/>
    </xf>
    <xf borderId="14" fillId="3" fontId="9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5" fillId="5" fontId="11" numFmtId="0" xfId="0" applyAlignment="1" applyBorder="1" applyFont="1">
      <alignment horizontal="center"/>
    </xf>
    <xf borderId="16" fillId="0" fontId="3" numFmtId="0" xfId="0" applyBorder="1" applyFont="1"/>
    <xf borderId="14" fillId="3" fontId="9" numFmtId="0" xfId="0" applyAlignment="1" applyBorder="1" applyFont="1">
      <alignment horizontal="left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4" fillId="8" fontId="15" numFmtId="0" xfId="0" applyAlignment="1" applyBorder="1" applyFill="1" applyFont="1">
      <alignment horizontal="center" vertical="center"/>
    </xf>
    <xf borderId="24" fillId="2" fontId="14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14" fillId="6" fontId="12" numFmtId="0" xfId="0" applyAlignment="1" applyBorder="1" applyFont="1">
      <alignment horizontal="center" vertical="center"/>
    </xf>
    <xf borderId="14" fillId="3" fontId="9" numFmtId="49" xfId="0" applyAlignment="1" applyBorder="1" applyFont="1" applyNumberFormat="1">
      <alignment horizontal="left" shrinkToFit="0" vertical="center" wrapText="1"/>
    </xf>
    <xf borderId="30" fillId="5" fontId="11" numFmtId="0" xfId="0" applyBorder="1" applyFont="1"/>
    <xf borderId="31" fillId="5" fontId="11" numFmtId="0" xfId="0" applyBorder="1" applyFont="1"/>
    <xf borderId="32" fillId="5" fontId="11" numFmtId="0" xfId="0" applyBorder="1" applyFont="1"/>
    <xf borderId="0" fillId="3" fontId="10" numFmtId="0" xfId="0" applyAlignment="1" applyFont="1">
      <alignment horizontal="center" readingOrder="0" shrinkToFit="0" vertical="center" wrapText="1"/>
    </xf>
    <xf borderId="0" fillId="3" fontId="11" numFmtId="0" xfId="0" applyFont="1"/>
    <xf borderId="33" fillId="5" fontId="11" numFmtId="0" xfId="0" applyBorder="1" applyFont="1"/>
    <xf borderId="34" fillId="5" fontId="11" numFmtId="0" xfId="0" applyBorder="1" applyFont="1"/>
    <xf borderId="0" fillId="3" fontId="16" numFmtId="0" xfId="0" applyFont="1"/>
    <xf borderId="35" fillId="5" fontId="11" numFmtId="0" xfId="0" applyBorder="1" applyFont="1"/>
    <xf borderId="0" fillId="0" fontId="1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9" numFmtId="49" xfId="0" applyAlignment="1" applyFont="1" applyNumberFormat="1">
      <alignment shrinkToFit="0" wrapText="1"/>
    </xf>
    <xf borderId="0" fillId="0" fontId="10" numFmtId="0" xfId="0" applyAlignment="1" applyFont="1">
      <alignment horizontal="center" shrinkToFit="0" wrapText="1"/>
    </xf>
    <xf borderId="0" fillId="3" fontId="12" numFmtId="0" xfId="0" applyAlignment="1" applyFont="1">
      <alignment horizontal="center" vertical="center"/>
    </xf>
    <xf borderId="0" fillId="3" fontId="14" numFmtId="0" xfId="0" applyAlignment="1" applyFont="1">
      <alignment horizontal="center" readingOrder="0" vertical="center"/>
    </xf>
    <xf borderId="0" fillId="3" fontId="14" numFmtId="0" xfId="0" applyAlignment="1" applyFont="1">
      <alignment horizontal="center" vertical="center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35</xdr:row>
      <xdr:rowOff>142875</xdr:rowOff>
    </xdr:from>
    <xdr:ext cx="1066800" cy="11620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35</xdr:row>
      <xdr:rowOff>85725</xdr:rowOff>
    </xdr:from>
    <xdr:ext cx="1095375" cy="11620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58</xdr:row>
      <xdr:rowOff>95250</xdr:rowOff>
    </xdr:from>
    <xdr:ext cx="1066800" cy="11620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58</xdr:row>
      <xdr:rowOff>95250</xdr:rowOff>
    </xdr:from>
    <xdr:ext cx="1095375" cy="11620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82</xdr:row>
      <xdr:rowOff>76200</xdr:rowOff>
    </xdr:from>
    <xdr:ext cx="1095375" cy="11620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752475</xdr:colOff>
      <xdr:row>82</xdr:row>
      <xdr:rowOff>142875</xdr:rowOff>
    </xdr:from>
    <xdr:ext cx="1066800" cy="11620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3" width="25.13"/>
    <col customWidth="1" min="4" max="4" width="31.13"/>
    <col customWidth="1" min="5" max="5" width="20.63"/>
    <col customWidth="1" min="6" max="6" width="13.13"/>
    <col customWidth="1" min="7" max="7" width="39.63"/>
    <col customWidth="1" min="8" max="12" width="10.63"/>
    <col customWidth="1" min="13" max="13" width="32.63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8.0</v>
      </c>
      <c r="J6" s="10"/>
      <c r="K6" s="9" t="s">
        <v>22</v>
      </c>
      <c r="L6" s="9" t="s">
        <v>23</v>
      </c>
      <c r="M6" s="11" t="s">
        <v>24</v>
      </c>
      <c r="N6" s="12"/>
      <c r="O6" s="13" t="s">
        <v>16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64.5" customHeight="1">
      <c r="A7" s="8"/>
      <c r="B7" s="9" t="s">
        <v>25</v>
      </c>
      <c r="C7" s="9" t="s">
        <v>26</v>
      </c>
      <c r="D7" s="15" t="s">
        <v>27</v>
      </c>
      <c r="E7" s="9" t="s">
        <v>28</v>
      </c>
      <c r="F7" s="9" t="s">
        <v>19</v>
      </c>
      <c r="G7" s="15" t="s">
        <v>29</v>
      </c>
      <c r="H7" s="9" t="s">
        <v>30</v>
      </c>
      <c r="I7" s="9">
        <v>8.0</v>
      </c>
      <c r="J7" s="16"/>
      <c r="K7" s="9" t="s">
        <v>22</v>
      </c>
      <c r="L7" s="9" t="s">
        <v>23</v>
      </c>
      <c r="M7" s="9" t="s">
        <v>31</v>
      </c>
      <c r="N7" s="12"/>
      <c r="O7" s="17" t="s">
        <v>26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>
      <c r="A8" s="8"/>
      <c r="B8" s="9" t="s">
        <v>32</v>
      </c>
      <c r="C8" s="9" t="s">
        <v>33</v>
      </c>
      <c r="D8" s="15" t="s">
        <v>34</v>
      </c>
      <c r="E8" s="9" t="s">
        <v>35</v>
      </c>
      <c r="F8" s="9" t="s">
        <v>19</v>
      </c>
      <c r="G8" s="15" t="s">
        <v>36</v>
      </c>
      <c r="H8" s="9" t="s">
        <v>37</v>
      </c>
      <c r="I8" s="9">
        <v>6.0</v>
      </c>
      <c r="J8" s="16"/>
      <c r="K8" s="9" t="s">
        <v>22</v>
      </c>
      <c r="L8" s="9" t="s">
        <v>23</v>
      </c>
      <c r="M8" s="9" t="s">
        <v>38</v>
      </c>
      <c r="N8" s="12"/>
      <c r="O8" s="17" t="s">
        <v>33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0.5" customHeight="1">
      <c r="A9" s="8"/>
      <c r="B9" s="9" t="s">
        <v>39</v>
      </c>
      <c r="C9" s="9" t="s">
        <v>40</v>
      </c>
      <c r="D9" s="15" t="s">
        <v>41</v>
      </c>
      <c r="E9" s="9" t="s">
        <v>42</v>
      </c>
      <c r="F9" s="9" t="s">
        <v>43</v>
      </c>
      <c r="G9" s="15" t="s">
        <v>44</v>
      </c>
      <c r="H9" s="9" t="s">
        <v>45</v>
      </c>
      <c r="I9" s="9">
        <v>8.0</v>
      </c>
      <c r="J9" s="16"/>
      <c r="K9" s="9" t="s">
        <v>22</v>
      </c>
      <c r="L9" s="9" t="s">
        <v>23</v>
      </c>
      <c r="M9" s="9" t="s">
        <v>46</v>
      </c>
      <c r="N9" s="12"/>
      <c r="O9" s="17" t="s">
        <v>40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18"/>
      <c r="B10" s="9" t="s">
        <v>47</v>
      </c>
      <c r="C10" s="9" t="s">
        <v>48</v>
      </c>
      <c r="D10" s="15" t="s">
        <v>49</v>
      </c>
      <c r="E10" s="9" t="s">
        <v>50</v>
      </c>
      <c r="F10" s="9" t="s">
        <v>43</v>
      </c>
      <c r="G10" s="15" t="s">
        <v>51</v>
      </c>
      <c r="H10" s="9" t="s">
        <v>21</v>
      </c>
      <c r="I10" s="9">
        <v>6.0</v>
      </c>
      <c r="J10" s="16"/>
      <c r="K10" s="9" t="s">
        <v>22</v>
      </c>
      <c r="L10" s="9" t="s">
        <v>23</v>
      </c>
      <c r="M10" s="9" t="s">
        <v>52</v>
      </c>
      <c r="N10" s="9" t="s">
        <v>53</v>
      </c>
      <c r="O10" s="17" t="s">
        <v>54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8.5" customHeight="1">
      <c r="A11" s="18"/>
      <c r="B11" s="9" t="s">
        <v>55</v>
      </c>
      <c r="C11" s="9" t="s">
        <v>56</v>
      </c>
      <c r="D11" s="15" t="s">
        <v>57</v>
      </c>
      <c r="E11" s="9" t="s">
        <v>58</v>
      </c>
      <c r="F11" s="9" t="s">
        <v>19</v>
      </c>
      <c r="G11" s="15" t="s">
        <v>59</v>
      </c>
      <c r="H11" s="9" t="s">
        <v>30</v>
      </c>
      <c r="I11" s="9">
        <v>8.0</v>
      </c>
      <c r="J11" s="16"/>
      <c r="K11" s="9" t="s">
        <v>22</v>
      </c>
      <c r="L11" s="9" t="s">
        <v>23</v>
      </c>
      <c r="M11" s="9" t="s">
        <v>60</v>
      </c>
      <c r="N11" s="9" t="s">
        <v>61</v>
      </c>
      <c r="O11" s="17" t="s">
        <v>62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18"/>
      <c r="B12" s="9" t="s">
        <v>63</v>
      </c>
      <c r="C12" s="9" t="s">
        <v>64</v>
      </c>
      <c r="D12" s="15" t="s">
        <v>65</v>
      </c>
      <c r="E12" s="9" t="s">
        <v>66</v>
      </c>
      <c r="F12" s="9" t="s">
        <v>67</v>
      </c>
      <c r="G12" s="15" t="s">
        <v>68</v>
      </c>
      <c r="H12" s="9" t="s">
        <v>45</v>
      </c>
      <c r="I12" s="9">
        <v>10.0</v>
      </c>
      <c r="J12" s="16"/>
      <c r="K12" s="9" t="s">
        <v>69</v>
      </c>
      <c r="L12" s="9" t="s">
        <v>23</v>
      </c>
      <c r="M12" s="9" t="s">
        <v>70</v>
      </c>
      <c r="N12" s="9" t="s">
        <v>71</v>
      </c>
      <c r="O12" s="17" t="s">
        <v>64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18"/>
      <c r="B13" s="9" t="s">
        <v>72</v>
      </c>
      <c r="C13" s="9" t="s">
        <v>73</v>
      </c>
      <c r="D13" s="15" t="s">
        <v>74</v>
      </c>
      <c r="E13" s="9" t="s">
        <v>75</v>
      </c>
      <c r="F13" s="9" t="s">
        <v>19</v>
      </c>
      <c r="G13" s="15" t="s">
        <v>76</v>
      </c>
      <c r="H13" s="9" t="s">
        <v>37</v>
      </c>
      <c r="I13" s="9">
        <v>4.0</v>
      </c>
      <c r="J13" s="16"/>
      <c r="K13" s="9" t="s">
        <v>69</v>
      </c>
      <c r="L13" s="9" t="s">
        <v>23</v>
      </c>
      <c r="M13" s="9" t="s">
        <v>77</v>
      </c>
      <c r="N13" s="9" t="s">
        <v>78</v>
      </c>
      <c r="O13" s="17" t="s">
        <v>73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8"/>
      <c r="B14" s="9" t="s">
        <v>79</v>
      </c>
      <c r="C14" s="9" t="s">
        <v>80</v>
      </c>
      <c r="D14" s="15" t="s">
        <v>81</v>
      </c>
      <c r="E14" s="9" t="s">
        <v>82</v>
      </c>
      <c r="F14" s="9" t="s">
        <v>19</v>
      </c>
      <c r="G14" s="15" t="s">
        <v>83</v>
      </c>
      <c r="H14" s="9" t="s">
        <v>30</v>
      </c>
      <c r="I14" s="9">
        <v>5.0</v>
      </c>
      <c r="J14" s="16"/>
      <c r="K14" s="9" t="s">
        <v>69</v>
      </c>
      <c r="L14" s="9" t="s">
        <v>23</v>
      </c>
      <c r="M14" s="9" t="s">
        <v>84</v>
      </c>
      <c r="N14" s="9" t="s">
        <v>85</v>
      </c>
      <c r="O14" s="17" t="s">
        <v>80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18"/>
      <c r="B15" s="9" t="s">
        <v>86</v>
      </c>
      <c r="C15" s="9" t="s">
        <v>87</v>
      </c>
      <c r="D15" s="15" t="s">
        <v>88</v>
      </c>
      <c r="E15" s="9" t="s">
        <v>89</v>
      </c>
      <c r="F15" s="9" t="s">
        <v>19</v>
      </c>
      <c r="G15" s="15" t="s">
        <v>90</v>
      </c>
      <c r="H15" s="9" t="s">
        <v>21</v>
      </c>
      <c r="I15" s="9">
        <v>8.0</v>
      </c>
      <c r="J15" s="16"/>
      <c r="K15" s="9" t="s">
        <v>69</v>
      </c>
      <c r="L15" s="9" t="s">
        <v>23</v>
      </c>
      <c r="M15" s="9" t="s">
        <v>91</v>
      </c>
      <c r="N15" s="9" t="s">
        <v>92</v>
      </c>
      <c r="O15" s="17" t="s">
        <v>87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8"/>
      <c r="B16" s="19"/>
      <c r="C16" s="20"/>
      <c r="D16" s="20"/>
      <c r="E16" s="20"/>
      <c r="F16" s="20"/>
      <c r="G16" s="20"/>
      <c r="H16" s="20"/>
      <c r="I16" s="21"/>
      <c r="J16" s="22"/>
      <c r="K16" s="21"/>
      <c r="L16" s="21"/>
      <c r="M16" s="20" t="s">
        <v>93</v>
      </c>
      <c r="N16" s="20"/>
      <c r="O16" s="2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8"/>
      <c r="B17" s="19"/>
      <c r="C17" s="20"/>
      <c r="D17" s="20"/>
      <c r="E17" s="20"/>
      <c r="F17" s="20"/>
      <c r="G17" s="20"/>
      <c r="H17" s="20"/>
      <c r="I17" s="21"/>
      <c r="J17" s="22"/>
      <c r="K17" s="21"/>
      <c r="L17" s="21"/>
      <c r="M17" s="20" t="s">
        <v>93</v>
      </c>
      <c r="N17" s="20"/>
      <c r="O17" s="2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8"/>
      <c r="B18" s="8"/>
      <c r="C18" s="8"/>
      <c r="D18" s="8"/>
      <c r="E18" s="8"/>
      <c r="F18" s="8"/>
      <c r="G18" s="8"/>
      <c r="H18" s="8"/>
      <c r="I18" s="24"/>
      <c r="J18" s="24"/>
      <c r="K18" s="25"/>
      <c r="L18" s="24"/>
      <c r="M18" s="8"/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8"/>
      <c r="B19" s="8"/>
      <c r="C19" s="8"/>
      <c r="D19" s="8"/>
      <c r="E19" s="8"/>
      <c r="F19" s="8"/>
      <c r="G19" s="8"/>
      <c r="H19" s="8"/>
      <c r="I19" s="24"/>
      <c r="J19" s="24"/>
      <c r="K19" s="25"/>
      <c r="L19" s="24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8"/>
      <c r="B20" s="8"/>
      <c r="C20" s="8"/>
      <c r="D20" s="8"/>
      <c r="E20" s="8"/>
      <c r="F20" s="8"/>
      <c r="G20" s="8"/>
      <c r="H20" s="26"/>
      <c r="I20" s="24"/>
      <c r="J20" s="24"/>
      <c r="K20" s="25"/>
      <c r="L20" s="24"/>
      <c r="M20" s="8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8"/>
      <c r="B21" s="8"/>
      <c r="C21" s="8"/>
      <c r="D21" s="8"/>
      <c r="E21" s="8"/>
      <c r="F21" s="8"/>
      <c r="G21" s="8"/>
      <c r="H21" s="8"/>
      <c r="I21" s="24"/>
      <c r="J21" s="24"/>
      <c r="K21" s="25"/>
      <c r="L21" s="24"/>
      <c r="M21" s="8"/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8"/>
      <c r="B22" s="8"/>
      <c r="C22" s="8"/>
      <c r="D22" s="8"/>
      <c r="E22" s="8"/>
      <c r="F22" s="8"/>
      <c r="G22" s="8"/>
      <c r="H22" s="8"/>
      <c r="I22" s="24"/>
      <c r="J22" s="24"/>
      <c r="K22" s="27"/>
      <c r="L22" s="24"/>
      <c r="M22" s="8"/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/>
      <c r="B23" s="8"/>
      <c r="C23" s="8"/>
      <c r="D23" s="8"/>
      <c r="E23" s="8"/>
      <c r="F23" s="8"/>
      <c r="G23" s="8"/>
      <c r="H23" s="8"/>
      <c r="I23" s="24"/>
      <c r="J23" s="24"/>
      <c r="K23" s="27"/>
      <c r="L23" s="24"/>
      <c r="M23" s="8"/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8"/>
      <c r="B24" s="8"/>
      <c r="C24" s="8"/>
      <c r="D24" s="8"/>
      <c r="E24" s="8"/>
      <c r="F24" s="8"/>
      <c r="G24" s="8"/>
      <c r="H24" s="8"/>
      <c r="I24" s="24"/>
      <c r="J24" s="24"/>
      <c r="K24" s="25"/>
      <c r="L24" s="24"/>
      <c r="M24" s="8"/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8"/>
      <c r="B25" s="8"/>
      <c r="C25" s="8"/>
      <c r="D25" s="8"/>
      <c r="E25" s="8"/>
      <c r="F25" s="8"/>
      <c r="G25" s="8"/>
      <c r="H25" s="8"/>
      <c r="I25" s="24"/>
      <c r="J25" s="8"/>
      <c r="K25" s="8"/>
      <c r="L25" s="8"/>
      <c r="M25" s="8"/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8"/>
      <c r="B26" s="8"/>
      <c r="C26" s="8"/>
      <c r="D26" s="8"/>
      <c r="E26" s="8"/>
      <c r="F26" s="8"/>
      <c r="G26" s="8"/>
      <c r="H26" s="8"/>
      <c r="I26" s="24"/>
      <c r="J26" s="8"/>
      <c r="K26" s="8"/>
      <c r="L26" s="8"/>
      <c r="M26" s="8"/>
      <c r="N26" s="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8"/>
      <c r="B27" s="8"/>
      <c r="C27" s="8"/>
      <c r="D27" s="8"/>
      <c r="E27" s="8"/>
      <c r="F27" s="8"/>
      <c r="G27" s="8"/>
      <c r="H27" s="8"/>
      <c r="I27" s="24"/>
      <c r="J27" s="8"/>
      <c r="K27" s="25" t="s">
        <v>22</v>
      </c>
      <c r="L27" s="25" t="s">
        <v>94</v>
      </c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8"/>
      <c r="B28" s="8"/>
      <c r="C28" s="8"/>
      <c r="D28" s="8"/>
      <c r="E28" s="8"/>
      <c r="F28" s="8"/>
      <c r="G28" s="8"/>
      <c r="H28" s="8"/>
      <c r="I28" s="24"/>
      <c r="J28" s="8"/>
      <c r="K28" s="25" t="s">
        <v>69</v>
      </c>
      <c r="L28" s="25" t="s">
        <v>23</v>
      </c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8"/>
      <c r="B29" s="8"/>
      <c r="C29" s="8"/>
      <c r="D29" s="8"/>
      <c r="E29" s="8"/>
      <c r="F29" s="8"/>
      <c r="G29" s="8"/>
      <c r="H29" s="8"/>
      <c r="I29" s="24"/>
      <c r="J29" s="8"/>
      <c r="K29" s="25" t="s">
        <v>95</v>
      </c>
      <c r="L29" s="25" t="s">
        <v>96</v>
      </c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8"/>
      <c r="B30" s="8"/>
      <c r="C30" s="8"/>
      <c r="D30" s="8"/>
      <c r="E30" s="8"/>
      <c r="F30" s="8"/>
      <c r="G30" s="8"/>
      <c r="H30" s="8"/>
      <c r="I30" s="24"/>
      <c r="J30" s="8"/>
      <c r="K30" s="25"/>
      <c r="L30" s="25" t="s">
        <v>97</v>
      </c>
      <c r="M30" s="8"/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8"/>
      <c r="B31" s="8"/>
      <c r="C31" s="8"/>
      <c r="D31" s="8"/>
      <c r="E31" s="8"/>
      <c r="F31" s="8"/>
      <c r="G31" s="8"/>
      <c r="H31" s="8"/>
      <c r="I31" s="24"/>
      <c r="J31" s="8"/>
      <c r="K31" s="8"/>
      <c r="L31" s="8"/>
      <c r="M31" s="8"/>
      <c r="N31" s="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8"/>
      <c r="B32" s="8"/>
      <c r="C32" s="8"/>
      <c r="D32" s="8"/>
      <c r="E32" s="8"/>
      <c r="F32" s="8"/>
      <c r="G32" s="8"/>
      <c r="H32" s="8"/>
      <c r="I32" s="24"/>
      <c r="J32" s="8"/>
      <c r="K32" s="8"/>
      <c r="L32" s="8"/>
      <c r="M32" s="8"/>
      <c r="N32" s="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24"/>
      <c r="J33" s="8"/>
      <c r="K33" s="8"/>
      <c r="L33" s="8"/>
      <c r="M33" s="8"/>
      <c r="N33" s="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24"/>
      <c r="J34" s="8"/>
      <c r="K34" s="8"/>
      <c r="L34" s="8"/>
      <c r="M34" s="8"/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24"/>
      <c r="J35" s="24"/>
      <c r="K35" s="25"/>
      <c r="L35" s="24"/>
      <c r="M35" s="8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24"/>
      <c r="J36" s="24"/>
      <c r="K36" s="25"/>
      <c r="L36" s="24"/>
      <c r="M36" s="8"/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24"/>
      <c r="J37" s="24"/>
      <c r="K37" s="25"/>
      <c r="L37" s="24"/>
      <c r="M37" s="8"/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24"/>
      <c r="J38" s="24"/>
      <c r="K38" s="25"/>
      <c r="L38" s="24"/>
      <c r="M38" s="8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24"/>
      <c r="J39" s="24"/>
      <c r="K39" s="25"/>
      <c r="L39" s="24"/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24"/>
      <c r="J40" s="24"/>
      <c r="K40" s="25"/>
      <c r="L40" s="24"/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24"/>
      <c r="J41" s="24"/>
      <c r="K41" s="25"/>
      <c r="L41" s="24"/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24"/>
      <c r="J42" s="24"/>
      <c r="K42" s="25"/>
      <c r="L42" s="24"/>
      <c r="M42" s="8"/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24"/>
      <c r="J43" s="24"/>
      <c r="K43" s="25"/>
      <c r="L43" s="24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24"/>
      <c r="J44" s="24"/>
      <c r="K44" s="25"/>
      <c r="L44" s="24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24"/>
      <c r="J45" s="24"/>
      <c r="K45" s="25"/>
      <c r="L45" s="24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24"/>
      <c r="J46" s="24"/>
      <c r="K46" s="25"/>
      <c r="L46" s="24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24"/>
      <c r="J47" s="24"/>
      <c r="K47" s="25"/>
      <c r="L47" s="24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24"/>
      <c r="J48" s="24"/>
      <c r="K48" s="25"/>
      <c r="L48" s="24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24"/>
      <c r="J49" s="24"/>
      <c r="K49" s="25"/>
      <c r="L49" s="24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24"/>
      <c r="J50" s="24"/>
      <c r="K50" s="25"/>
      <c r="L50" s="24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24"/>
      <c r="J51" s="24"/>
      <c r="K51" s="25"/>
      <c r="L51" s="24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24"/>
      <c r="J52" s="24"/>
      <c r="K52" s="25"/>
      <c r="L52" s="24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24"/>
      <c r="J53" s="24"/>
      <c r="K53" s="25"/>
      <c r="L53" s="24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24"/>
      <c r="J54" s="24"/>
      <c r="K54" s="25"/>
      <c r="L54" s="24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24"/>
      <c r="J55" s="24"/>
      <c r="K55" s="25"/>
      <c r="L55" s="24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24"/>
      <c r="J56" s="24"/>
      <c r="K56" s="25"/>
      <c r="L56" s="24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24"/>
      <c r="J57" s="24"/>
      <c r="K57" s="25"/>
      <c r="L57" s="24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24"/>
      <c r="J58" s="24"/>
      <c r="K58" s="25"/>
      <c r="L58" s="24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24"/>
      <c r="J59" s="24"/>
      <c r="K59" s="25"/>
      <c r="L59" s="24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24"/>
      <c r="J60" s="24"/>
      <c r="K60" s="25"/>
      <c r="L60" s="24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24"/>
      <c r="J61" s="24"/>
      <c r="K61" s="25"/>
      <c r="L61" s="24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24"/>
      <c r="J62" s="24"/>
      <c r="K62" s="25"/>
      <c r="L62" s="24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24"/>
      <c r="J63" s="24"/>
      <c r="K63" s="25"/>
      <c r="L63" s="24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24"/>
      <c r="J64" s="24"/>
      <c r="K64" s="25"/>
      <c r="L64" s="24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24"/>
      <c r="J65" s="24"/>
      <c r="K65" s="25"/>
      <c r="L65" s="24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24"/>
      <c r="J66" s="24"/>
      <c r="K66" s="25"/>
      <c r="L66" s="24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24"/>
      <c r="J67" s="24"/>
      <c r="K67" s="25"/>
      <c r="L67" s="24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24"/>
      <c r="J68" s="24"/>
      <c r="K68" s="25"/>
      <c r="L68" s="24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24"/>
      <c r="J69" s="24"/>
      <c r="K69" s="25"/>
      <c r="L69" s="24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24"/>
      <c r="J70" s="24"/>
      <c r="K70" s="25"/>
      <c r="L70" s="24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24"/>
      <c r="J71" s="24"/>
      <c r="K71" s="25"/>
      <c r="L71" s="24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24"/>
      <c r="J72" s="24"/>
      <c r="K72" s="25"/>
      <c r="L72" s="24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24"/>
      <c r="J73" s="24"/>
      <c r="K73" s="25"/>
      <c r="L73" s="24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24"/>
      <c r="J74" s="24"/>
      <c r="K74" s="25"/>
      <c r="L74" s="24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24"/>
      <c r="J75" s="24"/>
      <c r="K75" s="25"/>
      <c r="L75" s="24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24"/>
      <c r="J76" s="24"/>
      <c r="K76" s="25"/>
      <c r="L76" s="24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24"/>
      <c r="J77" s="24"/>
      <c r="K77" s="25"/>
      <c r="L77" s="24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24"/>
      <c r="J78" s="24"/>
      <c r="K78" s="25"/>
      <c r="L78" s="24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24"/>
      <c r="J79" s="24"/>
      <c r="K79" s="25"/>
      <c r="L79" s="24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24"/>
      <c r="J80" s="24"/>
      <c r="K80" s="25"/>
      <c r="L80" s="24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24"/>
      <c r="J81" s="24"/>
      <c r="K81" s="25"/>
      <c r="L81" s="24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24"/>
      <c r="J82" s="24"/>
      <c r="K82" s="25"/>
      <c r="L82" s="24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24"/>
      <c r="J83" s="24"/>
      <c r="K83" s="25"/>
      <c r="L83" s="24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24"/>
      <c r="J84" s="24"/>
      <c r="K84" s="25"/>
      <c r="L84" s="24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24"/>
      <c r="J85" s="24"/>
      <c r="K85" s="25"/>
      <c r="L85" s="24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24"/>
      <c r="J86" s="24"/>
      <c r="K86" s="25"/>
      <c r="L86" s="24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24"/>
      <c r="J87" s="24"/>
      <c r="K87" s="25"/>
      <c r="L87" s="24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24"/>
      <c r="J88" s="24"/>
      <c r="K88" s="25"/>
      <c r="L88" s="24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24"/>
      <c r="J89" s="24"/>
      <c r="K89" s="25"/>
      <c r="L89" s="24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24"/>
      <c r="J90" s="24"/>
      <c r="K90" s="25"/>
      <c r="L90" s="24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24"/>
      <c r="J91" s="24"/>
      <c r="K91" s="25"/>
      <c r="L91" s="24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24"/>
      <c r="J92" s="24"/>
      <c r="K92" s="25"/>
      <c r="L92" s="24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24"/>
      <c r="J93" s="24"/>
      <c r="K93" s="25"/>
      <c r="L93" s="24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24"/>
      <c r="J94" s="24"/>
      <c r="K94" s="25"/>
      <c r="L94" s="24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24"/>
      <c r="J95" s="24"/>
      <c r="K95" s="25"/>
      <c r="L95" s="24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24"/>
      <c r="J96" s="24"/>
      <c r="K96" s="25"/>
      <c r="L96" s="24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24"/>
      <c r="J97" s="24"/>
      <c r="K97" s="25"/>
      <c r="L97" s="24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24"/>
      <c r="J98" s="24"/>
      <c r="K98" s="25"/>
      <c r="L98" s="24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24"/>
      <c r="J99" s="24"/>
      <c r="K99" s="25"/>
      <c r="L99" s="24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24"/>
      <c r="J100" s="24"/>
      <c r="K100" s="25"/>
      <c r="L100" s="24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24"/>
      <c r="J101" s="24"/>
      <c r="K101" s="25"/>
      <c r="L101" s="24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24"/>
      <c r="J102" s="24"/>
      <c r="K102" s="25"/>
      <c r="L102" s="24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24"/>
      <c r="J103" s="24"/>
      <c r="K103" s="25"/>
      <c r="L103" s="24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24"/>
      <c r="J104" s="24"/>
      <c r="K104" s="25"/>
      <c r="L104" s="24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24"/>
      <c r="J105" s="24"/>
      <c r="K105" s="25"/>
      <c r="L105" s="24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24"/>
      <c r="J106" s="24"/>
      <c r="K106" s="25"/>
      <c r="L106" s="24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24"/>
      <c r="J107" s="24"/>
      <c r="K107" s="25"/>
      <c r="L107" s="24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24"/>
      <c r="J108" s="24"/>
      <c r="K108" s="25"/>
      <c r="L108" s="24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24"/>
      <c r="J109" s="24"/>
      <c r="K109" s="25"/>
      <c r="L109" s="24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24"/>
      <c r="J110" s="24"/>
      <c r="K110" s="25"/>
      <c r="L110" s="24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24"/>
      <c r="J111" s="24"/>
      <c r="K111" s="25"/>
      <c r="L111" s="24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24"/>
      <c r="J112" s="24"/>
      <c r="K112" s="25"/>
      <c r="L112" s="24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24"/>
      <c r="J113" s="24"/>
      <c r="K113" s="25"/>
      <c r="L113" s="24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24"/>
      <c r="J114" s="24"/>
      <c r="K114" s="25"/>
      <c r="L114" s="24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24"/>
      <c r="J115" s="24"/>
      <c r="K115" s="25"/>
      <c r="L115" s="24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24"/>
      <c r="J116" s="24"/>
      <c r="K116" s="25"/>
      <c r="L116" s="24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24"/>
      <c r="J117" s="24"/>
      <c r="K117" s="25"/>
      <c r="L117" s="24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24"/>
      <c r="J118" s="24"/>
      <c r="K118" s="25"/>
      <c r="L118" s="24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24"/>
      <c r="J119" s="24"/>
      <c r="K119" s="25"/>
      <c r="L119" s="24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24"/>
      <c r="J120" s="24"/>
      <c r="K120" s="25"/>
      <c r="L120" s="24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24"/>
      <c r="J121" s="24"/>
      <c r="K121" s="25"/>
      <c r="L121" s="24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24"/>
      <c r="J122" s="24"/>
      <c r="K122" s="25"/>
      <c r="L122" s="24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24"/>
      <c r="J123" s="24"/>
      <c r="K123" s="25"/>
      <c r="L123" s="24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24"/>
      <c r="J124" s="24"/>
      <c r="K124" s="25"/>
      <c r="L124" s="24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24"/>
      <c r="J125" s="24"/>
      <c r="K125" s="25"/>
      <c r="L125" s="24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24"/>
      <c r="J126" s="24"/>
      <c r="K126" s="25"/>
      <c r="L126" s="24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24"/>
      <c r="J127" s="24"/>
      <c r="K127" s="25"/>
      <c r="L127" s="24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24"/>
      <c r="J128" s="24"/>
      <c r="K128" s="25"/>
      <c r="L128" s="24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24"/>
      <c r="J129" s="24"/>
      <c r="K129" s="25"/>
      <c r="L129" s="24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24"/>
      <c r="J130" s="24"/>
      <c r="K130" s="25"/>
      <c r="L130" s="24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24"/>
      <c r="J131" s="24"/>
      <c r="K131" s="25"/>
      <c r="L131" s="24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24"/>
      <c r="J132" s="24"/>
      <c r="K132" s="25"/>
      <c r="L132" s="24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24"/>
      <c r="J133" s="24"/>
      <c r="K133" s="25"/>
      <c r="L133" s="24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24"/>
      <c r="J134" s="24"/>
      <c r="K134" s="25"/>
      <c r="L134" s="24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24"/>
      <c r="J135" s="24"/>
      <c r="K135" s="25"/>
      <c r="L135" s="24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24"/>
      <c r="J136" s="24"/>
      <c r="K136" s="25"/>
      <c r="L136" s="24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24"/>
      <c r="J137" s="24"/>
      <c r="K137" s="25"/>
      <c r="L137" s="24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24"/>
      <c r="J138" s="24"/>
      <c r="K138" s="25"/>
      <c r="L138" s="24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24"/>
      <c r="J139" s="24"/>
      <c r="K139" s="25"/>
      <c r="L139" s="24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24"/>
      <c r="J140" s="24"/>
      <c r="K140" s="25"/>
      <c r="L140" s="24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24"/>
      <c r="J141" s="24"/>
      <c r="K141" s="25"/>
      <c r="L141" s="24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24"/>
      <c r="J142" s="24"/>
      <c r="K142" s="25"/>
      <c r="L142" s="24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24"/>
      <c r="J143" s="24"/>
      <c r="K143" s="25"/>
      <c r="L143" s="24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24"/>
      <c r="J144" s="24"/>
      <c r="K144" s="25"/>
      <c r="L144" s="24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24"/>
      <c r="J145" s="24"/>
      <c r="K145" s="25"/>
      <c r="L145" s="24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24"/>
      <c r="J146" s="24"/>
      <c r="K146" s="25"/>
      <c r="L146" s="24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24"/>
      <c r="J147" s="24"/>
      <c r="K147" s="25"/>
      <c r="L147" s="24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24"/>
      <c r="J148" s="24"/>
      <c r="K148" s="25"/>
      <c r="L148" s="24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24"/>
      <c r="J149" s="24"/>
      <c r="K149" s="25"/>
      <c r="L149" s="24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24"/>
      <c r="J150" s="24"/>
      <c r="K150" s="25"/>
      <c r="L150" s="24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24"/>
      <c r="J151" s="24"/>
      <c r="K151" s="25"/>
      <c r="L151" s="24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24"/>
      <c r="J152" s="24"/>
      <c r="K152" s="25"/>
      <c r="L152" s="24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24"/>
      <c r="J153" s="24"/>
      <c r="K153" s="25"/>
      <c r="L153" s="24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24"/>
      <c r="J154" s="24"/>
      <c r="K154" s="25"/>
      <c r="L154" s="24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24"/>
      <c r="J155" s="24"/>
      <c r="K155" s="25"/>
      <c r="L155" s="24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24"/>
      <c r="J156" s="24"/>
      <c r="K156" s="25"/>
      <c r="L156" s="24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24"/>
      <c r="J157" s="24"/>
      <c r="K157" s="25"/>
      <c r="L157" s="24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24"/>
      <c r="J158" s="24"/>
      <c r="K158" s="25"/>
      <c r="L158" s="24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24"/>
      <c r="J159" s="24"/>
      <c r="K159" s="25"/>
      <c r="L159" s="24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24"/>
      <c r="J160" s="24"/>
      <c r="K160" s="25"/>
      <c r="L160" s="24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24"/>
      <c r="J161" s="24"/>
      <c r="K161" s="25"/>
      <c r="L161" s="24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24"/>
      <c r="J162" s="24"/>
      <c r="K162" s="25"/>
      <c r="L162" s="24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24"/>
      <c r="J163" s="24"/>
      <c r="K163" s="25"/>
      <c r="L163" s="24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24"/>
      <c r="J164" s="24"/>
      <c r="K164" s="25"/>
      <c r="L164" s="24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24"/>
      <c r="J165" s="24"/>
      <c r="K165" s="25"/>
      <c r="L165" s="24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24"/>
      <c r="J166" s="24"/>
      <c r="K166" s="25"/>
      <c r="L166" s="24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24"/>
      <c r="J167" s="24"/>
      <c r="K167" s="25"/>
      <c r="L167" s="24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24"/>
      <c r="J168" s="24"/>
      <c r="K168" s="25"/>
      <c r="L168" s="24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24"/>
      <c r="J169" s="24"/>
      <c r="K169" s="25"/>
      <c r="L169" s="24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24"/>
      <c r="J170" s="24"/>
      <c r="K170" s="25"/>
      <c r="L170" s="24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24"/>
      <c r="J171" s="24"/>
      <c r="K171" s="25"/>
      <c r="L171" s="24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24"/>
      <c r="J172" s="24"/>
      <c r="K172" s="25"/>
      <c r="L172" s="24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24"/>
      <c r="J173" s="24"/>
      <c r="K173" s="25"/>
      <c r="L173" s="24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24"/>
      <c r="J174" s="24"/>
      <c r="K174" s="25"/>
      <c r="L174" s="24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24"/>
      <c r="J175" s="24"/>
      <c r="K175" s="25"/>
      <c r="L175" s="24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24"/>
      <c r="J176" s="24"/>
      <c r="K176" s="25"/>
      <c r="L176" s="24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24"/>
      <c r="J177" s="24"/>
      <c r="K177" s="25"/>
      <c r="L177" s="24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24"/>
      <c r="J178" s="24"/>
      <c r="K178" s="25"/>
      <c r="L178" s="24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24"/>
      <c r="J179" s="24"/>
      <c r="K179" s="25"/>
      <c r="L179" s="24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24"/>
      <c r="J180" s="24"/>
      <c r="K180" s="25"/>
      <c r="L180" s="24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24"/>
      <c r="J181" s="24"/>
      <c r="K181" s="25"/>
      <c r="L181" s="24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24"/>
      <c r="J182" s="24"/>
      <c r="K182" s="25"/>
      <c r="L182" s="24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24"/>
      <c r="J183" s="24"/>
      <c r="K183" s="25"/>
      <c r="L183" s="24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24"/>
      <c r="J184" s="24"/>
      <c r="K184" s="25"/>
      <c r="L184" s="24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24"/>
      <c r="J185" s="24"/>
      <c r="K185" s="25"/>
      <c r="L185" s="24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24"/>
      <c r="J186" s="24"/>
      <c r="K186" s="25"/>
      <c r="L186" s="24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24"/>
      <c r="J187" s="24"/>
      <c r="K187" s="25"/>
      <c r="L187" s="24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24"/>
      <c r="J188" s="24"/>
      <c r="K188" s="25"/>
      <c r="L188" s="24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24"/>
      <c r="J189" s="24"/>
      <c r="K189" s="25"/>
      <c r="L189" s="24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24"/>
      <c r="J190" s="24"/>
      <c r="K190" s="25"/>
      <c r="L190" s="24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24"/>
      <c r="J191" s="24"/>
      <c r="K191" s="25"/>
      <c r="L191" s="24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24"/>
      <c r="J192" s="24"/>
      <c r="K192" s="25"/>
      <c r="L192" s="24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24"/>
      <c r="J193" s="24"/>
      <c r="K193" s="25"/>
      <c r="L193" s="24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24"/>
      <c r="J194" s="24"/>
      <c r="K194" s="25"/>
      <c r="L194" s="24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24"/>
      <c r="J195" s="24"/>
      <c r="K195" s="25"/>
      <c r="L195" s="24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24"/>
      <c r="J196" s="24"/>
      <c r="K196" s="25"/>
      <c r="L196" s="24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24"/>
      <c r="J197" s="24"/>
      <c r="K197" s="25"/>
      <c r="L197" s="24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24"/>
      <c r="J198" s="24"/>
      <c r="K198" s="25"/>
      <c r="L198" s="24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24"/>
      <c r="J199" s="24"/>
      <c r="K199" s="25"/>
      <c r="L199" s="24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24"/>
      <c r="J200" s="24"/>
      <c r="K200" s="25"/>
      <c r="L200" s="24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24"/>
      <c r="J201" s="24"/>
      <c r="K201" s="25"/>
      <c r="L201" s="24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24"/>
      <c r="J202" s="24"/>
      <c r="K202" s="25"/>
      <c r="L202" s="24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24"/>
      <c r="J203" s="24"/>
      <c r="K203" s="25"/>
      <c r="L203" s="24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24"/>
      <c r="J204" s="24"/>
      <c r="K204" s="25"/>
      <c r="L204" s="24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24"/>
      <c r="J205" s="24"/>
      <c r="K205" s="25"/>
      <c r="L205" s="24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24"/>
      <c r="J206" s="24"/>
      <c r="K206" s="25"/>
      <c r="L206" s="24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24"/>
      <c r="J207" s="24"/>
      <c r="K207" s="25"/>
      <c r="L207" s="24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24"/>
      <c r="J208" s="24"/>
      <c r="K208" s="25"/>
      <c r="L208" s="24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24"/>
      <c r="J209" s="24"/>
      <c r="K209" s="25"/>
      <c r="L209" s="24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24"/>
      <c r="J210" s="24"/>
      <c r="K210" s="25"/>
      <c r="L210" s="24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24"/>
      <c r="J211" s="24"/>
      <c r="K211" s="25"/>
      <c r="L211" s="24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24"/>
      <c r="J212" s="24"/>
      <c r="K212" s="25"/>
      <c r="L212" s="24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24"/>
      <c r="J213" s="24"/>
      <c r="K213" s="25"/>
      <c r="L213" s="24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24"/>
      <c r="J214" s="24"/>
      <c r="K214" s="25"/>
      <c r="L214" s="24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24"/>
      <c r="J215" s="24"/>
      <c r="K215" s="25"/>
      <c r="L215" s="24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24"/>
      <c r="J216" s="24"/>
      <c r="K216" s="25"/>
      <c r="L216" s="24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24"/>
      <c r="J217" s="24"/>
      <c r="K217" s="25"/>
      <c r="L217" s="24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24"/>
      <c r="J218" s="24"/>
      <c r="K218" s="25"/>
      <c r="L218" s="24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24"/>
      <c r="J219" s="24"/>
      <c r="K219" s="25"/>
      <c r="L219" s="24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24"/>
      <c r="J220" s="24"/>
      <c r="K220" s="25"/>
      <c r="L220" s="24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24"/>
      <c r="J221" s="24"/>
      <c r="K221" s="25"/>
      <c r="L221" s="24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24"/>
      <c r="J222" s="24"/>
      <c r="K222" s="25"/>
      <c r="L222" s="24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24"/>
      <c r="J223" s="24"/>
      <c r="K223" s="25"/>
      <c r="L223" s="24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24"/>
      <c r="J224" s="24"/>
      <c r="K224" s="25"/>
      <c r="L224" s="24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24"/>
      <c r="J225" s="24"/>
      <c r="K225" s="25"/>
      <c r="L225" s="24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24"/>
      <c r="J226" s="24"/>
      <c r="K226" s="25"/>
      <c r="L226" s="24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24"/>
      <c r="J227" s="24"/>
      <c r="K227" s="25"/>
      <c r="L227" s="24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24"/>
      <c r="J228" s="24"/>
      <c r="K228" s="25"/>
      <c r="L228" s="24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24"/>
      <c r="J229" s="24"/>
      <c r="K229" s="25"/>
      <c r="L229" s="24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24"/>
      <c r="J230" s="24"/>
      <c r="K230" s="25"/>
      <c r="L230" s="24"/>
      <c r="M230" s="8"/>
      <c r="N230" s="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24"/>
      <c r="J231" s="24"/>
      <c r="K231" s="25"/>
      <c r="L231" s="24"/>
      <c r="M231" s="8"/>
      <c r="N231" s="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24"/>
      <c r="J232" s="24"/>
      <c r="K232" s="25"/>
      <c r="L232" s="24"/>
      <c r="M232" s="8"/>
      <c r="N232" s="8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24"/>
      <c r="J233" s="24"/>
      <c r="K233" s="25"/>
      <c r="L233" s="24"/>
      <c r="M233" s="8"/>
      <c r="N233" s="8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24"/>
      <c r="J234" s="24"/>
      <c r="K234" s="25"/>
      <c r="L234" s="24"/>
      <c r="M234" s="8"/>
      <c r="N234" s="8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24"/>
      <c r="J235" s="24"/>
      <c r="K235" s="25"/>
      <c r="L235" s="24"/>
      <c r="M235" s="8"/>
      <c r="N235" s="8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24"/>
      <c r="J236" s="24"/>
      <c r="K236" s="25"/>
      <c r="L236" s="24"/>
      <c r="M236" s="8"/>
      <c r="N236" s="8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24"/>
      <c r="J237" s="24"/>
      <c r="K237" s="25"/>
      <c r="L237" s="24"/>
      <c r="M237" s="8"/>
      <c r="N237" s="8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24"/>
      <c r="J238" s="24"/>
      <c r="K238" s="25"/>
      <c r="L238" s="24"/>
      <c r="M238" s="8"/>
      <c r="N238" s="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24"/>
      <c r="J239" s="24"/>
      <c r="K239" s="25"/>
      <c r="L239" s="24"/>
      <c r="M239" s="8"/>
      <c r="N239" s="8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24"/>
      <c r="J240" s="24"/>
      <c r="K240" s="25"/>
      <c r="L240" s="24"/>
      <c r="M240" s="8"/>
      <c r="N240" s="8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24"/>
      <c r="J241" s="24"/>
      <c r="K241" s="25"/>
      <c r="L241" s="24"/>
      <c r="M241" s="8"/>
      <c r="N241" s="8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24"/>
      <c r="J242" s="24"/>
      <c r="K242" s="25"/>
      <c r="L242" s="24"/>
      <c r="M242" s="8"/>
      <c r="N242" s="8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24"/>
      <c r="J243" s="24"/>
      <c r="K243" s="25"/>
      <c r="L243" s="24"/>
      <c r="M243" s="8"/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24"/>
      <c r="J244" s="24"/>
      <c r="K244" s="25"/>
      <c r="L244" s="24"/>
      <c r="M244" s="8"/>
      <c r="N244" s="8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24"/>
      <c r="J245" s="24"/>
      <c r="K245" s="25"/>
      <c r="L245" s="24"/>
      <c r="M245" s="8"/>
      <c r="N245" s="8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24"/>
      <c r="J246" s="24"/>
      <c r="K246" s="25"/>
      <c r="L246" s="24"/>
      <c r="M246" s="8"/>
      <c r="N246" s="8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24"/>
      <c r="J247" s="24"/>
      <c r="K247" s="25"/>
      <c r="L247" s="24"/>
      <c r="M247" s="8"/>
      <c r="N247" s="8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24"/>
      <c r="J248" s="24"/>
      <c r="K248" s="25"/>
      <c r="L248" s="24"/>
      <c r="M248" s="8"/>
      <c r="N248" s="8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24"/>
      <c r="J249" s="24"/>
      <c r="K249" s="25"/>
      <c r="L249" s="24"/>
      <c r="M249" s="8"/>
      <c r="N249" s="8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24"/>
      <c r="J250" s="24"/>
      <c r="K250" s="25"/>
      <c r="L250" s="24"/>
      <c r="M250" s="8"/>
      <c r="N250" s="8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24"/>
      <c r="J251" s="24"/>
      <c r="K251" s="25"/>
      <c r="L251" s="24"/>
      <c r="M251" s="8"/>
      <c r="N251" s="8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24"/>
      <c r="J252" s="24"/>
      <c r="K252" s="25"/>
      <c r="L252" s="24"/>
      <c r="M252" s="8"/>
      <c r="N252" s="8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24"/>
      <c r="J253" s="24"/>
      <c r="K253" s="25"/>
      <c r="L253" s="24"/>
      <c r="M253" s="8"/>
      <c r="N253" s="8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24"/>
      <c r="J254" s="24"/>
      <c r="K254" s="25"/>
      <c r="L254" s="24"/>
      <c r="M254" s="8"/>
      <c r="N254" s="8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24"/>
      <c r="J255" s="24"/>
      <c r="K255" s="25"/>
      <c r="L255" s="24"/>
      <c r="M255" s="8"/>
      <c r="N255" s="8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24"/>
      <c r="J256" s="24"/>
      <c r="K256" s="25"/>
      <c r="L256" s="24"/>
      <c r="M256" s="8"/>
      <c r="N256" s="8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24"/>
      <c r="J257" s="24"/>
      <c r="K257" s="25"/>
      <c r="L257" s="24"/>
      <c r="M257" s="8"/>
      <c r="N257" s="8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24"/>
      <c r="J258" s="24"/>
      <c r="K258" s="25"/>
      <c r="L258" s="24"/>
      <c r="M258" s="8"/>
      <c r="N258" s="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24"/>
      <c r="J259" s="24"/>
      <c r="K259" s="25"/>
      <c r="L259" s="24"/>
      <c r="M259" s="8"/>
      <c r="N259" s="8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24"/>
      <c r="J260" s="24"/>
      <c r="K260" s="25"/>
      <c r="L260" s="24"/>
      <c r="M260" s="8"/>
      <c r="N260" s="8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24"/>
      <c r="J261" s="24"/>
      <c r="K261" s="25"/>
      <c r="L261" s="24"/>
      <c r="M261" s="8"/>
      <c r="N261" s="8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24"/>
      <c r="J262" s="24"/>
      <c r="K262" s="25"/>
      <c r="L262" s="24"/>
      <c r="M262" s="8"/>
      <c r="N262" s="8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24"/>
      <c r="J263" s="24"/>
      <c r="K263" s="25"/>
      <c r="L263" s="24"/>
      <c r="M263" s="8"/>
      <c r="N263" s="8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24"/>
      <c r="J264" s="24"/>
      <c r="K264" s="25"/>
      <c r="L264" s="24"/>
      <c r="M264" s="8"/>
      <c r="N264" s="8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24"/>
      <c r="J265" s="24"/>
      <c r="K265" s="25"/>
      <c r="L265" s="24"/>
      <c r="M265" s="8"/>
      <c r="N265" s="8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24"/>
      <c r="J266" s="24"/>
      <c r="K266" s="25"/>
      <c r="L266" s="24"/>
      <c r="M266" s="8"/>
      <c r="N266" s="8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24"/>
      <c r="J267" s="24"/>
      <c r="K267" s="25"/>
      <c r="L267" s="24"/>
      <c r="M267" s="8"/>
      <c r="N267" s="8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24"/>
      <c r="J268" s="24"/>
      <c r="K268" s="25"/>
      <c r="L268" s="24"/>
      <c r="M268" s="8"/>
      <c r="N268" s="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24"/>
      <c r="J269" s="24"/>
      <c r="K269" s="25"/>
      <c r="L269" s="24"/>
      <c r="M269" s="8"/>
      <c r="N269" s="8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24"/>
      <c r="J270" s="24"/>
      <c r="K270" s="25"/>
      <c r="L270" s="24"/>
      <c r="M270" s="8"/>
      <c r="N270" s="8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24"/>
      <c r="J271" s="24"/>
      <c r="K271" s="25"/>
      <c r="L271" s="24"/>
      <c r="M271" s="8"/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24"/>
      <c r="J272" s="24"/>
      <c r="K272" s="25"/>
      <c r="L272" s="24"/>
      <c r="M272" s="8"/>
      <c r="N272" s="8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24"/>
      <c r="J273" s="24"/>
      <c r="K273" s="25"/>
      <c r="L273" s="24"/>
      <c r="M273" s="8"/>
      <c r="N273" s="8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24"/>
      <c r="J274" s="24"/>
      <c r="K274" s="25"/>
      <c r="L274" s="24"/>
      <c r="M274" s="8"/>
      <c r="N274" s="8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24"/>
      <c r="J275" s="24"/>
      <c r="K275" s="25"/>
      <c r="L275" s="24"/>
      <c r="M275" s="8"/>
      <c r="N275" s="8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24"/>
      <c r="J276" s="24"/>
      <c r="K276" s="25"/>
      <c r="L276" s="24"/>
      <c r="M276" s="8"/>
      <c r="N276" s="8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24"/>
      <c r="J277" s="24"/>
      <c r="K277" s="25"/>
      <c r="L277" s="24"/>
      <c r="M277" s="8"/>
      <c r="N277" s="8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24"/>
      <c r="J278" s="24"/>
      <c r="K278" s="25"/>
      <c r="L278" s="24"/>
      <c r="M278" s="8"/>
      <c r="N278" s="8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24"/>
      <c r="J279" s="24"/>
      <c r="K279" s="25"/>
      <c r="L279" s="24"/>
      <c r="M279" s="8"/>
      <c r="N279" s="8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24"/>
      <c r="J280" s="24"/>
      <c r="K280" s="25"/>
      <c r="L280" s="24"/>
      <c r="M280" s="8"/>
      <c r="N280" s="8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24"/>
      <c r="J281" s="24"/>
      <c r="K281" s="25"/>
      <c r="L281" s="24"/>
      <c r="M281" s="8"/>
      <c r="N281" s="8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24"/>
      <c r="J282" s="24"/>
      <c r="K282" s="25"/>
      <c r="L282" s="24"/>
      <c r="M282" s="8"/>
      <c r="N282" s="8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24"/>
      <c r="J283" s="24"/>
      <c r="K283" s="25"/>
      <c r="L283" s="24"/>
      <c r="M283" s="8"/>
      <c r="N283" s="8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24"/>
      <c r="J284" s="24"/>
      <c r="K284" s="25"/>
      <c r="L284" s="24"/>
      <c r="M284" s="8"/>
      <c r="N284" s="8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24"/>
      <c r="J285" s="24"/>
      <c r="K285" s="25"/>
      <c r="L285" s="24"/>
      <c r="M285" s="8"/>
      <c r="N285" s="8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24"/>
      <c r="J286" s="24"/>
      <c r="K286" s="25"/>
      <c r="L286" s="24"/>
      <c r="M286" s="8"/>
      <c r="N286" s="8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24"/>
      <c r="J287" s="24"/>
      <c r="K287" s="25"/>
      <c r="L287" s="24"/>
      <c r="M287" s="8"/>
      <c r="N287" s="8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24"/>
      <c r="J288" s="24"/>
      <c r="K288" s="25"/>
      <c r="L288" s="24"/>
      <c r="M288" s="8"/>
      <c r="N288" s="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24"/>
      <c r="J289" s="24"/>
      <c r="K289" s="25"/>
      <c r="L289" s="24"/>
      <c r="M289" s="8"/>
      <c r="N289" s="8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24"/>
      <c r="J290" s="24"/>
      <c r="K290" s="25"/>
      <c r="L290" s="24"/>
      <c r="M290" s="8"/>
      <c r="N290" s="8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24"/>
      <c r="J291" s="24"/>
      <c r="K291" s="25"/>
      <c r="L291" s="24"/>
      <c r="M291" s="8"/>
      <c r="N291" s="8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24"/>
      <c r="J292" s="24"/>
      <c r="K292" s="25"/>
      <c r="L292" s="24"/>
      <c r="M292" s="8"/>
      <c r="N292" s="8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24"/>
      <c r="J293" s="24"/>
      <c r="K293" s="25"/>
      <c r="L293" s="24"/>
      <c r="M293" s="8"/>
      <c r="N293" s="8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24"/>
      <c r="J294" s="24"/>
      <c r="K294" s="25"/>
      <c r="L294" s="24"/>
      <c r="M294" s="8"/>
      <c r="N294" s="8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24"/>
      <c r="J295" s="24"/>
      <c r="K295" s="25"/>
      <c r="L295" s="24"/>
      <c r="M295" s="8"/>
      <c r="N295" s="8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24"/>
      <c r="J296" s="24"/>
      <c r="K296" s="25"/>
      <c r="L296" s="24"/>
      <c r="M296" s="8"/>
      <c r="N296" s="8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24"/>
      <c r="J297" s="24"/>
      <c r="K297" s="25"/>
      <c r="L297" s="24"/>
      <c r="M297" s="8"/>
      <c r="N297" s="8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24"/>
      <c r="J298" s="24"/>
      <c r="K298" s="25"/>
      <c r="L298" s="24"/>
      <c r="M298" s="8"/>
      <c r="N298" s="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24"/>
      <c r="J299" s="24"/>
      <c r="K299" s="25"/>
      <c r="L299" s="24"/>
      <c r="M299" s="8"/>
      <c r="N299" s="8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24"/>
      <c r="J300" s="24"/>
      <c r="K300" s="25"/>
      <c r="L300" s="24"/>
      <c r="M300" s="8"/>
      <c r="N300" s="8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24"/>
      <c r="J301" s="24"/>
      <c r="K301" s="25"/>
      <c r="L301" s="24"/>
      <c r="M301" s="8"/>
      <c r="N301" s="8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24"/>
      <c r="J302" s="24"/>
      <c r="K302" s="25"/>
      <c r="L302" s="24"/>
      <c r="M302" s="8"/>
      <c r="N302" s="8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24"/>
      <c r="J303" s="24"/>
      <c r="K303" s="25"/>
      <c r="L303" s="24"/>
      <c r="M303" s="8"/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24"/>
      <c r="J304" s="24"/>
      <c r="K304" s="25"/>
      <c r="L304" s="24"/>
      <c r="M304" s="8"/>
      <c r="N304" s="8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24"/>
      <c r="J305" s="24"/>
      <c r="K305" s="25"/>
      <c r="L305" s="24"/>
      <c r="M305" s="8"/>
      <c r="N305" s="8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24"/>
      <c r="J306" s="24"/>
      <c r="K306" s="25"/>
      <c r="L306" s="24"/>
      <c r="M306" s="8"/>
      <c r="N306" s="8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24"/>
      <c r="J307" s="24"/>
      <c r="K307" s="25"/>
      <c r="L307" s="24"/>
      <c r="M307" s="8"/>
      <c r="N307" s="8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24"/>
      <c r="J308" s="24"/>
      <c r="K308" s="25"/>
      <c r="L308" s="24"/>
      <c r="M308" s="8"/>
      <c r="N308" s="8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24"/>
      <c r="J309" s="24"/>
      <c r="K309" s="25"/>
      <c r="L309" s="24"/>
      <c r="M309" s="8"/>
      <c r="N309" s="8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24"/>
      <c r="J310" s="24"/>
      <c r="K310" s="25"/>
      <c r="L310" s="24"/>
      <c r="M310" s="8"/>
      <c r="N310" s="8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24"/>
      <c r="J311" s="24"/>
      <c r="K311" s="25"/>
      <c r="L311" s="24"/>
      <c r="M311" s="8"/>
      <c r="N311" s="8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24"/>
      <c r="J312" s="24"/>
      <c r="K312" s="25"/>
      <c r="L312" s="24"/>
      <c r="M312" s="8"/>
      <c r="N312" s="8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24"/>
      <c r="J313" s="24"/>
      <c r="K313" s="25"/>
      <c r="L313" s="24"/>
      <c r="M313" s="8"/>
      <c r="N313" s="8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24"/>
      <c r="J314" s="24"/>
      <c r="K314" s="25"/>
      <c r="L314" s="24"/>
      <c r="M314" s="8"/>
      <c r="N314" s="8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24"/>
      <c r="J315" s="24"/>
      <c r="K315" s="25"/>
      <c r="L315" s="24"/>
      <c r="M315" s="8"/>
      <c r="N315" s="8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24"/>
      <c r="J316" s="24"/>
      <c r="K316" s="25"/>
      <c r="L316" s="24"/>
      <c r="M316" s="8"/>
      <c r="N316" s="8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24"/>
      <c r="J317" s="24"/>
      <c r="K317" s="25"/>
      <c r="L317" s="24"/>
      <c r="M317" s="8"/>
      <c r="N317" s="8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24"/>
      <c r="J318" s="24"/>
      <c r="K318" s="25"/>
      <c r="L318" s="24"/>
      <c r="M318" s="8"/>
      <c r="N318" s="8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24"/>
      <c r="J319" s="24"/>
      <c r="K319" s="25"/>
      <c r="L319" s="24"/>
      <c r="M319" s="8"/>
      <c r="N319" s="8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24"/>
      <c r="J320" s="24"/>
      <c r="K320" s="25"/>
      <c r="L320" s="24"/>
      <c r="M320" s="8"/>
      <c r="N320" s="8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24"/>
      <c r="J321" s="24"/>
      <c r="K321" s="25"/>
      <c r="L321" s="24"/>
      <c r="M321" s="8"/>
      <c r="N321" s="8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24"/>
      <c r="J322" s="24"/>
      <c r="K322" s="25"/>
      <c r="L322" s="24"/>
      <c r="M322" s="8"/>
      <c r="N322" s="8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24"/>
      <c r="J323" s="24"/>
      <c r="K323" s="25"/>
      <c r="L323" s="24"/>
      <c r="M323" s="8"/>
      <c r="N323" s="8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24"/>
      <c r="J324" s="24"/>
      <c r="K324" s="25"/>
      <c r="L324" s="24"/>
      <c r="M324" s="8"/>
      <c r="N324" s="8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24"/>
      <c r="J325" s="24"/>
      <c r="K325" s="25"/>
      <c r="L325" s="24"/>
      <c r="M325" s="8"/>
      <c r="N325" s="8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24"/>
      <c r="J326" s="24"/>
      <c r="K326" s="25"/>
      <c r="L326" s="24"/>
      <c r="M326" s="8"/>
      <c r="N326" s="8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24"/>
      <c r="J327" s="24"/>
      <c r="K327" s="25"/>
      <c r="L327" s="24"/>
      <c r="M327" s="8"/>
      <c r="N327" s="8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24"/>
      <c r="J328" s="24"/>
      <c r="K328" s="25"/>
      <c r="L328" s="24"/>
      <c r="M328" s="8"/>
      <c r="N328" s="8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24"/>
      <c r="J329" s="24"/>
      <c r="K329" s="25"/>
      <c r="L329" s="24"/>
      <c r="M329" s="8"/>
      <c r="N329" s="8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24"/>
      <c r="J330" s="24"/>
      <c r="K330" s="25"/>
      <c r="L330" s="24"/>
      <c r="M330" s="8"/>
      <c r="N330" s="8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24"/>
      <c r="J331" s="24"/>
      <c r="K331" s="25"/>
      <c r="L331" s="24"/>
      <c r="M331" s="8"/>
      <c r="N331" s="8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24"/>
      <c r="J332" s="24"/>
      <c r="K332" s="25"/>
      <c r="L332" s="24"/>
      <c r="M332" s="8"/>
      <c r="N332" s="8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24"/>
      <c r="J333" s="24"/>
      <c r="K333" s="25"/>
      <c r="L333" s="24"/>
      <c r="M333" s="8"/>
      <c r="N333" s="8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24"/>
      <c r="J334" s="24"/>
      <c r="K334" s="25"/>
      <c r="L334" s="24"/>
      <c r="M334" s="8"/>
      <c r="N334" s="8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24"/>
      <c r="J335" s="24"/>
      <c r="K335" s="25"/>
      <c r="L335" s="24"/>
      <c r="M335" s="8"/>
      <c r="N335" s="8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24"/>
      <c r="J336" s="24"/>
      <c r="K336" s="25"/>
      <c r="L336" s="24"/>
      <c r="M336" s="8"/>
      <c r="N336" s="8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24"/>
      <c r="J337" s="24"/>
      <c r="K337" s="25"/>
      <c r="L337" s="24"/>
      <c r="M337" s="8"/>
      <c r="N337" s="8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24"/>
      <c r="J338" s="24"/>
      <c r="K338" s="25"/>
      <c r="L338" s="24"/>
      <c r="M338" s="8"/>
      <c r="N338" s="8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24"/>
      <c r="J339" s="24"/>
      <c r="K339" s="25"/>
      <c r="L339" s="24"/>
      <c r="M339" s="8"/>
      <c r="N339" s="8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24"/>
      <c r="J340" s="24"/>
      <c r="K340" s="25"/>
      <c r="L340" s="24"/>
      <c r="M340" s="8"/>
      <c r="N340" s="8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24"/>
      <c r="J341" s="24"/>
      <c r="K341" s="25"/>
      <c r="L341" s="24"/>
      <c r="M341" s="8"/>
      <c r="N341" s="8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24"/>
      <c r="J342" s="24"/>
      <c r="K342" s="25"/>
      <c r="L342" s="24"/>
      <c r="M342" s="8"/>
      <c r="N342" s="8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24"/>
      <c r="J343" s="24"/>
      <c r="K343" s="25"/>
      <c r="L343" s="24"/>
      <c r="M343" s="8"/>
      <c r="N343" s="8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24"/>
      <c r="J344" s="24"/>
      <c r="K344" s="25"/>
      <c r="L344" s="24"/>
      <c r="M344" s="8"/>
      <c r="N344" s="8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24"/>
      <c r="J345" s="24"/>
      <c r="K345" s="25"/>
      <c r="L345" s="24"/>
      <c r="M345" s="8"/>
      <c r="N345" s="8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24"/>
      <c r="J346" s="24"/>
      <c r="K346" s="25"/>
      <c r="L346" s="24"/>
      <c r="M346" s="8"/>
      <c r="N346" s="8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24"/>
      <c r="J347" s="24"/>
      <c r="K347" s="25"/>
      <c r="L347" s="24"/>
      <c r="M347" s="8"/>
      <c r="N347" s="8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24"/>
      <c r="J348" s="24"/>
      <c r="K348" s="25"/>
      <c r="L348" s="24"/>
      <c r="M348" s="8"/>
      <c r="N348" s="8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24"/>
      <c r="J349" s="24"/>
      <c r="K349" s="25"/>
      <c r="L349" s="24"/>
      <c r="M349" s="8"/>
      <c r="N349" s="8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24"/>
      <c r="J350" s="24"/>
      <c r="K350" s="25"/>
      <c r="L350" s="24"/>
      <c r="M350" s="8"/>
      <c r="N350" s="8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24"/>
      <c r="J351" s="24"/>
      <c r="K351" s="25"/>
      <c r="L351" s="24"/>
      <c r="M351" s="8"/>
      <c r="N351" s="8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24"/>
      <c r="J352" s="24"/>
      <c r="K352" s="25"/>
      <c r="L352" s="24"/>
      <c r="M352" s="8"/>
      <c r="N352" s="8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24"/>
      <c r="J353" s="24"/>
      <c r="K353" s="25"/>
      <c r="L353" s="24"/>
      <c r="M353" s="8"/>
      <c r="N353" s="8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24"/>
      <c r="J354" s="24"/>
      <c r="K354" s="25"/>
      <c r="L354" s="24"/>
      <c r="M354" s="8"/>
      <c r="N354" s="8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24"/>
      <c r="J355" s="24"/>
      <c r="K355" s="25"/>
      <c r="L355" s="24"/>
      <c r="M355" s="8"/>
      <c r="N355" s="8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24"/>
      <c r="J356" s="24"/>
      <c r="K356" s="25"/>
      <c r="L356" s="24"/>
      <c r="M356" s="8"/>
      <c r="N356" s="8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24"/>
      <c r="J357" s="24"/>
      <c r="K357" s="25"/>
      <c r="L357" s="24"/>
      <c r="M357" s="8"/>
      <c r="N357" s="8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24"/>
      <c r="J358" s="24"/>
      <c r="K358" s="25"/>
      <c r="L358" s="24"/>
      <c r="M358" s="8"/>
      <c r="N358" s="8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24"/>
      <c r="J359" s="24"/>
      <c r="K359" s="25"/>
      <c r="L359" s="24"/>
      <c r="M359" s="8"/>
      <c r="N359" s="8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24"/>
      <c r="J360" s="24"/>
      <c r="K360" s="25"/>
      <c r="L360" s="24"/>
      <c r="M360" s="8"/>
      <c r="N360" s="8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24"/>
      <c r="J361" s="24"/>
      <c r="K361" s="25"/>
      <c r="L361" s="24"/>
      <c r="M361" s="8"/>
      <c r="N361" s="8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24"/>
      <c r="J362" s="24"/>
      <c r="K362" s="25"/>
      <c r="L362" s="24"/>
      <c r="M362" s="8"/>
      <c r="N362" s="8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24"/>
      <c r="J363" s="24"/>
      <c r="K363" s="25"/>
      <c r="L363" s="24"/>
      <c r="M363" s="8"/>
      <c r="N363" s="8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24"/>
      <c r="J364" s="24"/>
      <c r="K364" s="25"/>
      <c r="L364" s="24"/>
      <c r="M364" s="8"/>
      <c r="N364" s="8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24"/>
      <c r="J365" s="24"/>
      <c r="K365" s="25"/>
      <c r="L365" s="24"/>
      <c r="M365" s="8"/>
      <c r="N365" s="8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24"/>
      <c r="J366" s="24"/>
      <c r="K366" s="25"/>
      <c r="L366" s="24"/>
      <c r="M366" s="8"/>
      <c r="N366" s="8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24"/>
      <c r="J367" s="24"/>
      <c r="K367" s="25"/>
      <c r="L367" s="24"/>
      <c r="M367" s="8"/>
      <c r="N367" s="8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24"/>
      <c r="J368" s="24"/>
      <c r="K368" s="25"/>
      <c r="L368" s="24"/>
      <c r="M368" s="8"/>
      <c r="N368" s="8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24"/>
      <c r="J369" s="24"/>
      <c r="K369" s="25"/>
      <c r="L369" s="24"/>
      <c r="M369" s="8"/>
      <c r="N369" s="8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24"/>
      <c r="J370" s="24"/>
      <c r="K370" s="25"/>
      <c r="L370" s="24"/>
      <c r="M370" s="8"/>
      <c r="N370" s="8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24"/>
      <c r="J371" s="24"/>
      <c r="K371" s="25"/>
      <c r="L371" s="24"/>
      <c r="M371" s="8"/>
      <c r="N371" s="8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24"/>
      <c r="J372" s="24"/>
      <c r="K372" s="25"/>
      <c r="L372" s="24"/>
      <c r="M372" s="8"/>
      <c r="N372" s="8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24"/>
      <c r="J373" s="24"/>
      <c r="K373" s="25"/>
      <c r="L373" s="24"/>
      <c r="M373" s="8"/>
      <c r="N373" s="8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24"/>
      <c r="J374" s="24"/>
      <c r="K374" s="25"/>
      <c r="L374" s="24"/>
      <c r="M374" s="8"/>
      <c r="N374" s="8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24"/>
      <c r="J375" s="24"/>
      <c r="K375" s="25"/>
      <c r="L375" s="24"/>
      <c r="M375" s="8"/>
      <c r="N375" s="8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24"/>
      <c r="J376" s="24"/>
      <c r="K376" s="25"/>
      <c r="L376" s="24"/>
      <c r="M376" s="8"/>
      <c r="N376" s="8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24"/>
      <c r="J377" s="24"/>
      <c r="K377" s="25"/>
      <c r="L377" s="24"/>
      <c r="M377" s="8"/>
      <c r="N377" s="8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24"/>
      <c r="J378" s="24"/>
      <c r="K378" s="25"/>
      <c r="L378" s="24"/>
      <c r="M378" s="8"/>
      <c r="N378" s="8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24"/>
      <c r="J379" s="24"/>
      <c r="K379" s="25"/>
      <c r="L379" s="24"/>
      <c r="M379" s="8"/>
      <c r="N379" s="8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24"/>
      <c r="J380" s="24"/>
      <c r="K380" s="25"/>
      <c r="L380" s="24"/>
      <c r="M380" s="8"/>
      <c r="N380" s="8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24"/>
      <c r="J381" s="24"/>
      <c r="K381" s="25"/>
      <c r="L381" s="24"/>
      <c r="M381" s="8"/>
      <c r="N381" s="8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24"/>
      <c r="J382" s="24"/>
      <c r="K382" s="25"/>
      <c r="L382" s="24"/>
      <c r="M382" s="8"/>
      <c r="N382" s="8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24"/>
      <c r="J383" s="24"/>
      <c r="K383" s="25"/>
      <c r="L383" s="24"/>
      <c r="M383" s="8"/>
      <c r="N383" s="8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24"/>
      <c r="J384" s="24"/>
      <c r="K384" s="25"/>
      <c r="L384" s="24"/>
      <c r="M384" s="8"/>
      <c r="N384" s="8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24"/>
      <c r="J385" s="24"/>
      <c r="K385" s="25"/>
      <c r="L385" s="24"/>
      <c r="M385" s="8"/>
      <c r="N385" s="8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24"/>
      <c r="J386" s="24"/>
      <c r="K386" s="25"/>
      <c r="L386" s="24"/>
      <c r="M386" s="8"/>
      <c r="N386" s="8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24"/>
      <c r="J387" s="24"/>
      <c r="K387" s="25"/>
      <c r="L387" s="24"/>
      <c r="M387" s="8"/>
      <c r="N387" s="8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24"/>
      <c r="J388" s="24"/>
      <c r="K388" s="25"/>
      <c r="L388" s="24"/>
      <c r="M388" s="8"/>
      <c r="N388" s="8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24"/>
      <c r="J389" s="24"/>
      <c r="K389" s="25"/>
      <c r="L389" s="24"/>
      <c r="M389" s="8"/>
      <c r="N389" s="8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24"/>
      <c r="J390" s="24"/>
      <c r="K390" s="25"/>
      <c r="L390" s="24"/>
      <c r="M390" s="8"/>
      <c r="N390" s="8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24"/>
      <c r="J391" s="24"/>
      <c r="K391" s="25"/>
      <c r="L391" s="24"/>
      <c r="M391" s="8"/>
      <c r="N391" s="8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24"/>
      <c r="J392" s="24"/>
      <c r="K392" s="25"/>
      <c r="L392" s="24"/>
      <c r="M392" s="8"/>
      <c r="N392" s="8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24"/>
      <c r="J393" s="24"/>
      <c r="K393" s="25"/>
      <c r="L393" s="24"/>
      <c r="M393" s="8"/>
      <c r="N393" s="8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24"/>
      <c r="J394" s="24"/>
      <c r="K394" s="25"/>
      <c r="L394" s="24"/>
      <c r="M394" s="8"/>
      <c r="N394" s="8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24"/>
      <c r="J395" s="24"/>
      <c r="K395" s="25"/>
      <c r="L395" s="24"/>
      <c r="M395" s="8"/>
      <c r="N395" s="8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24"/>
      <c r="J396" s="24"/>
      <c r="K396" s="25"/>
      <c r="L396" s="24"/>
      <c r="M396" s="8"/>
      <c r="N396" s="8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24"/>
      <c r="J397" s="24"/>
      <c r="K397" s="25"/>
      <c r="L397" s="24"/>
      <c r="M397" s="8"/>
      <c r="N397" s="8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24"/>
      <c r="J398" s="24"/>
      <c r="K398" s="25"/>
      <c r="L398" s="24"/>
      <c r="M398" s="8"/>
      <c r="N398" s="8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24"/>
      <c r="J399" s="24"/>
      <c r="K399" s="25"/>
      <c r="L399" s="24"/>
      <c r="M399" s="8"/>
      <c r="N399" s="8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24"/>
      <c r="J400" s="24"/>
      <c r="K400" s="25"/>
      <c r="L400" s="24"/>
      <c r="M400" s="8"/>
      <c r="N400" s="8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24"/>
      <c r="J401" s="24"/>
      <c r="K401" s="25"/>
      <c r="L401" s="24"/>
      <c r="M401" s="8"/>
      <c r="N401" s="8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24"/>
      <c r="J402" s="24"/>
      <c r="K402" s="25"/>
      <c r="L402" s="24"/>
      <c r="M402" s="8"/>
      <c r="N402" s="8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24"/>
      <c r="J403" s="24"/>
      <c r="K403" s="25"/>
      <c r="L403" s="24"/>
      <c r="M403" s="8"/>
      <c r="N403" s="8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24"/>
      <c r="J404" s="24"/>
      <c r="K404" s="25"/>
      <c r="L404" s="24"/>
      <c r="M404" s="8"/>
      <c r="N404" s="8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24"/>
      <c r="J405" s="24"/>
      <c r="K405" s="25"/>
      <c r="L405" s="24"/>
      <c r="M405" s="8"/>
      <c r="N405" s="8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24"/>
      <c r="J406" s="24"/>
      <c r="K406" s="25"/>
      <c r="L406" s="24"/>
      <c r="M406" s="8"/>
      <c r="N406" s="8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24"/>
      <c r="J407" s="24"/>
      <c r="K407" s="25"/>
      <c r="L407" s="24"/>
      <c r="M407" s="8"/>
      <c r="N407" s="8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24"/>
      <c r="J408" s="24"/>
      <c r="K408" s="25"/>
      <c r="L408" s="24"/>
      <c r="M408" s="8"/>
      <c r="N408" s="8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24"/>
      <c r="J409" s="24"/>
      <c r="K409" s="25"/>
      <c r="L409" s="24"/>
      <c r="M409" s="8"/>
      <c r="N409" s="8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24"/>
      <c r="J410" s="24"/>
      <c r="K410" s="25"/>
      <c r="L410" s="24"/>
      <c r="M410" s="8"/>
      <c r="N410" s="8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24"/>
      <c r="J411" s="24"/>
      <c r="K411" s="25"/>
      <c r="L411" s="24"/>
      <c r="M411" s="8"/>
      <c r="N411" s="8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24"/>
      <c r="J412" s="24"/>
      <c r="K412" s="25"/>
      <c r="L412" s="24"/>
      <c r="M412" s="8"/>
      <c r="N412" s="8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24"/>
      <c r="J413" s="24"/>
      <c r="K413" s="25"/>
      <c r="L413" s="24"/>
      <c r="M413" s="8"/>
      <c r="N413" s="8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24"/>
      <c r="J414" s="24"/>
      <c r="K414" s="25"/>
      <c r="L414" s="24"/>
      <c r="M414" s="8"/>
      <c r="N414" s="8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24"/>
      <c r="J415" s="24"/>
      <c r="K415" s="25"/>
      <c r="L415" s="24"/>
      <c r="M415" s="8"/>
      <c r="N415" s="8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24"/>
      <c r="J416" s="24"/>
      <c r="K416" s="25"/>
      <c r="L416" s="24"/>
      <c r="M416" s="8"/>
      <c r="N416" s="8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24"/>
      <c r="J417" s="24"/>
      <c r="K417" s="25"/>
      <c r="L417" s="24"/>
      <c r="M417" s="8"/>
      <c r="N417" s="8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24"/>
      <c r="J418" s="24"/>
      <c r="K418" s="25"/>
      <c r="L418" s="24"/>
      <c r="M418" s="8"/>
      <c r="N418" s="8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24"/>
      <c r="J419" s="24"/>
      <c r="K419" s="25"/>
      <c r="L419" s="24"/>
      <c r="M419" s="8"/>
      <c r="N419" s="8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24"/>
      <c r="J420" s="24"/>
      <c r="K420" s="25"/>
      <c r="L420" s="24"/>
      <c r="M420" s="8"/>
      <c r="N420" s="8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24"/>
      <c r="J421" s="24"/>
      <c r="K421" s="25"/>
      <c r="L421" s="24"/>
      <c r="M421" s="8"/>
      <c r="N421" s="8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24"/>
      <c r="J422" s="24"/>
      <c r="K422" s="25"/>
      <c r="L422" s="24"/>
      <c r="M422" s="8"/>
      <c r="N422" s="8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24"/>
      <c r="J423" s="24"/>
      <c r="K423" s="25"/>
      <c r="L423" s="24"/>
      <c r="M423" s="8"/>
      <c r="N423" s="8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24"/>
      <c r="J424" s="24"/>
      <c r="K424" s="25"/>
      <c r="L424" s="24"/>
      <c r="M424" s="8"/>
      <c r="N424" s="8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24"/>
      <c r="J425" s="24"/>
      <c r="K425" s="25"/>
      <c r="L425" s="24"/>
      <c r="M425" s="8"/>
      <c r="N425" s="8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24"/>
      <c r="J426" s="24"/>
      <c r="K426" s="25"/>
      <c r="L426" s="24"/>
      <c r="M426" s="8"/>
      <c r="N426" s="8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24"/>
      <c r="J427" s="24"/>
      <c r="K427" s="25"/>
      <c r="L427" s="24"/>
      <c r="M427" s="8"/>
      <c r="N427" s="8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24"/>
      <c r="J428" s="24"/>
      <c r="K428" s="25"/>
      <c r="L428" s="24"/>
      <c r="M428" s="8"/>
      <c r="N428" s="8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24"/>
      <c r="J429" s="24"/>
      <c r="K429" s="25"/>
      <c r="L429" s="24"/>
      <c r="M429" s="8"/>
      <c r="N429" s="8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24"/>
      <c r="J430" s="24"/>
      <c r="K430" s="25"/>
      <c r="L430" s="24"/>
      <c r="M430" s="8"/>
      <c r="N430" s="8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24"/>
      <c r="J431" s="24"/>
      <c r="K431" s="25"/>
      <c r="L431" s="24"/>
      <c r="M431" s="8"/>
      <c r="N431" s="8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24"/>
      <c r="J432" s="24"/>
      <c r="K432" s="25"/>
      <c r="L432" s="24"/>
      <c r="M432" s="8"/>
      <c r="N432" s="8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24"/>
      <c r="J433" s="24"/>
      <c r="K433" s="25"/>
      <c r="L433" s="24"/>
      <c r="M433" s="8"/>
      <c r="N433" s="8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24"/>
      <c r="J434" s="24"/>
      <c r="K434" s="25"/>
      <c r="L434" s="24"/>
      <c r="M434" s="8"/>
      <c r="N434" s="8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24"/>
      <c r="J435" s="24"/>
      <c r="K435" s="25"/>
      <c r="L435" s="24"/>
      <c r="M435" s="8"/>
      <c r="N435" s="8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24"/>
      <c r="J436" s="24"/>
      <c r="K436" s="25"/>
      <c r="L436" s="24"/>
      <c r="M436" s="8"/>
      <c r="N436" s="8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24"/>
      <c r="J437" s="24"/>
      <c r="K437" s="25"/>
      <c r="L437" s="24"/>
      <c r="M437" s="8"/>
      <c r="N437" s="8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24"/>
      <c r="J438" s="24"/>
      <c r="K438" s="25"/>
      <c r="L438" s="24"/>
      <c r="M438" s="8"/>
      <c r="N438" s="8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24"/>
      <c r="J439" s="24"/>
      <c r="K439" s="25"/>
      <c r="L439" s="24"/>
      <c r="M439" s="8"/>
      <c r="N439" s="8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24"/>
      <c r="J440" s="24"/>
      <c r="K440" s="25"/>
      <c r="L440" s="24"/>
      <c r="M440" s="8"/>
      <c r="N440" s="8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24"/>
      <c r="J441" s="24"/>
      <c r="K441" s="25"/>
      <c r="L441" s="24"/>
      <c r="M441" s="8"/>
      <c r="N441" s="8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24"/>
      <c r="J442" s="24"/>
      <c r="K442" s="25"/>
      <c r="L442" s="24"/>
      <c r="M442" s="8"/>
      <c r="N442" s="8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24"/>
      <c r="J443" s="24"/>
      <c r="K443" s="25"/>
      <c r="L443" s="24"/>
      <c r="M443" s="8"/>
      <c r="N443" s="8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24"/>
      <c r="J444" s="24"/>
      <c r="K444" s="25"/>
      <c r="L444" s="24"/>
      <c r="M444" s="8"/>
      <c r="N444" s="8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24"/>
      <c r="J445" s="24"/>
      <c r="K445" s="25"/>
      <c r="L445" s="24"/>
      <c r="M445" s="8"/>
      <c r="N445" s="8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24"/>
      <c r="J446" s="24"/>
      <c r="K446" s="25"/>
      <c r="L446" s="24"/>
      <c r="M446" s="8"/>
      <c r="N446" s="8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24"/>
      <c r="J447" s="24"/>
      <c r="K447" s="25"/>
      <c r="L447" s="24"/>
      <c r="M447" s="8"/>
      <c r="N447" s="8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24"/>
      <c r="J448" s="24"/>
      <c r="K448" s="25"/>
      <c r="L448" s="24"/>
      <c r="M448" s="8"/>
      <c r="N448" s="8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24"/>
      <c r="J449" s="24"/>
      <c r="K449" s="25"/>
      <c r="L449" s="24"/>
      <c r="M449" s="8"/>
      <c r="N449" s="8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24"/>
      <c r="J450" s="24"/>
      <c r="K450" s="25"/>
      <c r="L450" s="24"/>
      <c r="M450" s="8"/>
      <c r="N450" s="8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24"/>
      <c r="J451" s="24"/>
      <c r="K451" s="25"/>
      <c r="L451" s="24"/>
      <c r="M451" s="8"/>
      <c r="N451" s="8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24"/>
      <c r="J452" s="24"/>
      <c r="K452" s="25"/>
      <c r="L452" s="24"/>
      <c r="M452" s="8"/>
      <c r="N452" s="8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24"/>
      <c r="J453" s="24"/>
      <c r="K453" s="25"/>
      <c r="L453" s="24"/>
      <c r="M453" s="8"/>
      <c r="N453" s="8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24"/>
      <c r="J454" s="24"/>
      <c r="K454" s="25"/>
      <c r="L454" s="24"/>
      <c r="M454" s="8"/>
      <c r="N454" s="8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24"/>
      <c r="J455" s="24"/>
      <c r="K455" s="25"/>
      <c r="L455" s="24"/>
      <c r="M455" s="8"/>
      <c r="N455" s="8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24"/>
      <c r="J456" s="24"/>
      <c r="K456" s="25"/>
      <c r="L456" s="24"/>
      <c r="M456" s="8"/>
      <c r="N456" s="8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24"/>
      <c r="J457" s="24"/>
      <c r="K457" s="25"/>
      <c r="L457" s="24"/>
      <c r="M457" s="8"/>
      <c r="N457" s="8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24"/>
      <c r="J458" s="24"/>
      <c r="K458" s="25"/>
      <c r="L458" s="24"/>
      <c r="M458" s="8"/>
      <c r="N458" s="8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24"/>
      <c r="J459" s="24"/>
      <c r="K459" s="25"/>
      <c r="L459" s="24"/>
      <c r="M459" s="8"/>
      <c r="N459" s="8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24"/>
      <c r="J460" s="24"/>
      <c r="K460" s="25"/>
      <c r="L460" s="24"/>
      <c r="M460" s="8"/>
      <c r="N460" s="8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24"/>
      <c r="J461" s="24"/>
      <c r="K461" s="25"/>
      <c r="L461" s="24"/>
      <c r="M461" s="8"/>
      <c r="N461" s="8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24"/>
      <c r="J462" s="24"/>
      <c r="K462" s="25"/>
      <c r="L462" s="24"/>
      <c r="M462" s="8"/>
      <c r="N462" s="8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24"/>
      <c r="J463" s="24"/>
      <c r="K463" s="25"/>
      <c r="L463" s="24"/>
      <c r="M463" s="8"/>
      <c r="N463" s="8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24"/>
      <c r="J464" s="24"/>
      <c r="K464" s="25"/>
      <c r="L464" s="24"/>
      <c r="M464" s="8"/>
      <c r="N464" s="8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24"/>
      <c r="J465" s="24"/>
      <c r="K465" s="25"/>
      <c r="L465" s="24"/>
      <c r="M465" s="8"/>
      <c r="N465" s="8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24"/>
      <c r="J466" s="24"/>
      <c r="K466" s="25"/>
      <c r="L466" s="24"/>
      <c r="M466" s="8"/>
      <c r="N466" s="8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24"/>
      <c r="J467" s="24"/>
      <c r="K467" s="25"/>
      <c r="L467" s="24"/>
      <c r="M467" s="8"/>
      <c r="N467" s="8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24"/>
      <c r="J468" s="24"/>
      <c r="K468" s="25"/>
      <c r="L468" s="24"/>
      <c r="M468" s="8"/>
      <c r="N468" s="8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24"/>
      <c r="J469" s="24"/>
      <c r="K469" s="25"/>
      <c r="L469" s="24"/>
      <c r="M469" s="8"/>
      <c r="N469" s="8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24"/>
      <c r="J470" s="24"/>
      <c r="K470" s="25"/>
      <c r="L470" s="24"/>
      <c r="M470" s="8"/>
      <c r="N470" s="8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24"/>
      <c r="J471" s="24"/>
      <c r="K471" s="25"/>
      <c r="L471" s="24"/>
      <c r="M471" s="8"/>
      <c r="N471" s="8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24"/>
      <c r="J472" s="24"/>
      <c r="K472" s="25"/>
      <c r="L472" s="24"/>
      <c r="M472" s="8"/>
      <c r="N472" s="8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24"/>
      <c r="J473" s="24"/>
      <c r="K473" s="25"/>
      <c r="L473" s="24"/>
      <c r="M473" s="8"/>
      <c r="N473" s="8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24"/>
      <c r="J474" s="24"/>
      <c r="K474" s="25"/>
      <c r="L474" s="24"/>
      <c r="M474" s="8"/>
      <c r="N474" s="8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24"/>
      <c r="J475" s="24"/>
      <c r="K475" s="25"/>
      <c r="L475" s="24"/>
      <c r="M475" s="8"/>
      <c r="N475" s="8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24"/>
      <c r="J476" s="24"/>
      <c r="K476" s="25"/>
      <c r="L476" s="24"/>
      <c r="M476" s="8"/>
      <c r="N476" s="8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24"/>
      <c r="J477" s="24"/>
      <c r="K477" s="25"/>
      <c r="L477" s="24"/>
      <c r="M477" s="8"/>
      <c r="N477" s="8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24"/>
      <c r="J478" s="24"/>
      <c r="K478" s="25"/>
      <c r="L478" s="24"/>
      <c r="M478" s="8"/>
      <c r="N478" s="8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24"/>
      <c r="J479" s="24"/>
      <c r="K479" s="25"/>
      <c r="L479" s="24"/>
      <c r="M479" s="8"/>
      <c r="N479" s="8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24"/>
      <c r="J480" s="24"/>
      <c r="K480" s="25"/>
      <c r="L480" s="24"/>
      <c r="M480" s="8"/>
      <c r="N480" s="8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24"/>
      <c r="J481" s="24"/>
      <c r="K481" s="25"/>
      <c r="L481" s="24"/>
      <c r="M481" s="8"/>
      <c r="N481" s="8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24"/>
      <c r="J482" s="24"/>
      <c r="K482" s="25"/>
      <c r="L482" s="24"/>
      <c r="M482" s="8"/>
      <c r="N482" s="8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24"/>
      <c r="J483" s="24"/>
      <c r="K483" s="25"/>
      <c r="L483" s="24"/>
      <c r="M483" s="8"/>
      <c r="N483" s="8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24"/>
      <c r="J484" s="24"/>
      <c r="K484" s="25"/>
      <c r="L484" s="24"/>
      <c r="M484" s="8"/>
      <c r="N484" s="8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24"/>
      <c r="J485" s="24"/>
      <c r="K485" s="25"/>
      <c r="L485" s="24"/>
      <c r="M485" s="8"/>
      <c r="N485" s="8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24"/>
      <c r="J486" s="24"/>
      <c r="K486" s="25"/>
      <c r="L486" s="24"/>
      <c r="M486" s="8"/>
      <c r="N486" s="8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24"/>
      <c r="J487" s="24"/>
      <c r="K487" s="25"/>
      <c r="L487" s="24"/>
      <c r="M487" s="8"/>
      <c r="N487" s="8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24"/>
      <c r="J488" s="24"/>
      <c r="K488" s="25"/>
      <c r="L488" s="24"/>
      <c r="M488" s="8"/>
      <c r="N488" s="8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24"/>
      <c r="J489" s="24"/>
      <c r="K489" s="25"/>
      <c r="L489" s="24"/>
      <c r="M489" s="8"/>
      <c r="N489" s="8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24"/>
      <c r="J490" s="24"/>
      <c r="K490" s="25"/>
      <c r="L490" s="24"/>
      <c r="M490" s="8"/>
      <c r="N490" s="8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24"/>
      <c r="J491" s="24"/>
      <c r="K491" s="25"/>
      <c r="L491" s="24"/>
      <c r="M491" s="8"/>
      <c r="N491" s="8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24"/>
      <c r="J492" s="24"/>
      <c r="K492" s="25"/>
      <c r="L492" s="24"/>
      <c r="M492" s="8"/>
      <c r="N492" s="8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24"/>
      <c r="J493" s="24"/>
      <c r="K493" s="25"/>
      <c r="L493" s="24"/>
      <c r="M493" s="8"/>
      <c r="N493" s="8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24"/>
      <c r="J494" s="24"/>
      <c r="K494" s="25"/>
      <c r="L494" s="24"/>
      <c r="M494" s="8"/>
      <c r="N494" s="8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24"/>
      <c r="J495" s="24"/>
      <c r="K495" s="25"/>
      <c r="L495" s="24"/>
      <c r="M495" s="8"/>
      <c r="N495" s="8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24"/>
      <c r="J496" s="24"/>
      <c r="K496" s="25"/>
      <c r="L496" s="24"/>
      <c r="M496" s="8"/>
      <c r="N496" s="8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24"/>
      <c r="J497" s="24"/>
      <c r="K497" s="25"/>
      <c r="L497" s="24"/>
      <c r="M497" s="8"/>
      <c r="N497" s="8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24"/>
      <c r="J498" s="24"/>
      <c r="K498" s="25"/>
      <c r="L498" s="24"/>
      <c r="M498" s="8"/>
      <c r="N498" s="8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24"/>
      <c r="J499" s="24"/>
      <c r="K499" s="25"/>
      <c r="L499" s="24"/>
      <c r="M499" s="8"/>
      <c r="N499" s="8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24"/>
      <c r="J500" s="24"/>
      <c r="K500" s="25"/>
      <c r="L500" s="24"/>
      <c r="M500" s="8"/>
      <c r="N500" s="8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24"/>
      <c r="J501" s="24"/>
      <c r="K501" s="25"/>
      <c r="L501" s="24"/>
      <c r="M501" s="8"/>
      <c r="N501" s="8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24"/>
      <c r="J502" s="24"/>
      <c r="K502" s="25"/>
      <c r="L502" s="24"/>
      <c r="M502" s="8"/>
      <c r="N502" s="8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24"/>
      <c r="J503" s="24"/>
      <c r="K503" s="25"/>
      <c r="L503" s="24"/>
      <c r="M503" s="8"/>
      <c r="N503" s="8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24"/>
      <c r="J504" s="24"/>
      <c r="K504" s="25"/>
      <c r="L504" s="24"/>
      <c r="M504" s="8"/>
      <c r="N504" s="8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24"/>
      <c r="J505" s="24"/>
      <c r="K505" s="25"/>
      <c r="L505" s="24"/>
      <c r="M505" s="8"/>
      <c r="N505" s="8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24"/>
      <c r="J506" s="24"/>
      <c r="K506" s="25"/>
      <c r="L506" s="24"/>
      <c r="M506" s="8"/>
      <c r="N506" s="8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24"/>
      <c r="J507" s="24"/>
      <c r="K507" s="25"/>
      <c r="L507" s="24"/>
      <c r="M507" s="8"/>
      <c r="N507" s="8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24"/>
      <c r="J508" s="24"/>
      <c r="K508" s="25"/>
      <c r="L508" s="24"/>
      <c r="M508" s="8"/>
      <c r="N508" s="8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24"/>
      <c r="J509" s="24"/>
      <c r="K509" s="25"/>
      <c r="L509" s="24"/>
      <c r="M509" s="8"/>
      <c r="N509" s="8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24"/>
      <c r="J510" s="24"/>
      <c r="K510" s="25"/>
      <c r="L510" s="24"/>
      <c r="M510" s="8"/>
      <c r="N510" s="8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24"/>
      <c r="J511" s="24"/>
      <c r="K511" s="25"/>
      <c r="L511" s="24"/>
      <c r="M511" s="8"/>
      <c r="N511" s="8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24"/>
      <c r="J512" s="24"/>
      <c r="K512" s="25"/>
      <c r="L512" s="24"/>
      <c r="M512" s="8"/>
      <c r="N512" s="8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24"/>
      <c r="J513" s="24"/>
      <c r="K513" s="25"/>
      <c r="L513" s="24"/>
      <c r="M513" s="8"/>
      <c r="N513" s="8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24"/>
      <c r="J514" s="24"/>
      <c r="K514" s="25"/>
      <c r="L514" s="24"/>
      <c r="M514" s="8"/>
      <c r="N514" s="8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24"/>
      <c r="J515" s="24"/>
      <c r="K515" s="25"/>
      <c r="L515" s="24"/>
      <c r="M515" s="8"/>
      <c r="N515" s="8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24"/>
      <c r="J516" s="24"/>
      <c r="K516" s="25"/>
      <c r="L516" s="24"/>
      <c r="M516" s="8"/>
      <c r="N516" s="8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24"/>
      <c r="J517" s="24"/>
      <c r="K517" s="25"/>
      <c r="L517" s="24"/>
      <c r="M517" s="8"/>
      <c r="N517" s="8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24"/>
      <c r="J518" s="24"/>
      <c r="K518" s="25"/>
      <c r="L518" s="24"/>
      <c r="M518" s="8"/>
      <c r="N518" s="8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24"/>
      <c r="J519" s="24"/>
      <c r="K519" s="25"/>
      <c r="L519" s="24"/>
      <c r="M519" s="8"/>
      <c r="N519" s="8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24"/>
      <c r="J520" s="24"/>
      <c r="K520" s="25"/>
      <c r="L520" s="24"/>
      <c r="M520" s="8"/>
      <c r="N520" s="8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24"/>
      <c r="J521" s="24"/>
      <c r="K521" s="25"/>
      <c r="L521" s="24"/>
      <c r="M521" s="8"/>
      <c r="N521" s="8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24"/>
      <c r="J522" s="24"/>
      <c r="K522" s="25"/>
      <c r="L522" s="24"/>
      <c r="M522" s="8"/>
      <c r="N522" s="8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24"/>
      <c r="J523" s="24"/>
      <c r="K523" s="25"/>
      <c r="L523" s="24"/>
      <c r="M523" s="8"/>
      <c r="N523" s="8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24"/>
      <c r="J524" s="24"/>
      <c r="K524" s="25"/>
      <c r="L524" s="24"/>
      <c r="M524" s="8"/>
      <c r="N524" s="8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24"/>
      <c r="J525" s="24"/>
      <c r="K525" s="25"/>
      <c r="L525" s="24"/>
      <c r="M525" s="8"/>
      <c r="N525" s="8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24"/>
      <c r="J526" s="24"/>
      <c r="K526" s="25"/>
      <c r="L526" s="24"/>
      <c r="M526" s="8"/>
      <c r="N526" s="8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24"/>
      <c r="J527" s="24"/>
      <c r="K527" s="25"/>
      <c r="L527" s="24"/>
      <c r="M527" s="8"/>
      <c r="N527" s="8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24"/>
      <c r="J528" s="24"/>
      <c r="K528" s="25"/>
      <c r="L528" s="24"/>
      <c r="M528" s="8"/>
      <c r="N528" s="8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24"/>
      <c r="J529" s="24"/>
      <c r="K529" s="25"/>
      <c r="L529" s="24"/>
      <c r="M529" s="8"/>
      <c r="N529" s="8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24"/>
      <c r="J530" s="24"/>
      <c r="K530" s="25"/>
      <c r="L530" s="24"/>
      <c r="M530" s="8"/>
      <c r="N530" s="8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24"/>
      <c r="J531" s="24"/>
      <c r="K531" s="25"/>
      <c r="L531" s="24"/>
      <c r="M531" s="8"/>
      <c r="N531" s="8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24"/>
      <c r="J532" s="24"/>
      <c r="K532" s="25"/>
      <c r="L532" s="24"/>
      <c r="M532" s="8"/>
      <c r="N532" s="8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24"/>
      <c r="J533" s="24"/>
      <c r="K533" s="25"/>
      <c r="L533" s="24"/>
      <c r="M533" s="8"/>
      <c r="N533" s="8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24"/>
      <c r="J534" s="24"/>
      <c r="K534" s="25"/>
      <c r="L534" s="24"/>
      <c r="M534" s="8"/>
      <c r="N534" s="8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24"/>
      <c r="J535" s="24"/>
      <c r="K535" s="25"/>
      <c r="L535" s="24"/>
      <c r="M535" s="8"/>
      <c r="N535" s="8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24"/>
      <c r="J536" s="24"/>
      <c r="K536" s="25"/>
      <c r="L536" s="24"/>
      <c r="M536" s="8"/>
      <c r="N536" s="8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24"/>
      <c r="J537" s="24"/>
      <c r="K537" s="25"/>
      <c r="L537" s="24"/>
      <c r="M537" s="8"/>
      <c r="N537" s="8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24"/>
      <c r="J538" s="24"/>
      <c r="K538" s="25"/>
      <c r="L538" s="24"/>
      <c r="M538" s="8"/>
      <c r="N538" s="8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24"/>
      <c r="J539" s="24"/>
      <c r="K539" s="25"/>
      <c r="L539" s="24"/>
      <c r="M539" s="8"/>
      <c r="N539" s="8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24"/>
      <c r="J540" s="24"/>
      <c r="K540" s="25"/>
      <c r="L540" s="24"/>
      <c r="M540" s="8"/>
      <c r="N540" s="8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24"/>
      <c r="J541" s="24"/>
      <c r="K541" s="25"/>
      <c r="L541" s="24"/>
      <c r="M541" s="8"/>
      <c r="N541" s="8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24"/>
      <c r="J542" s="24"/>
      <c r="K542" s="25"/>
      <c r="L542" s="24"/>
      <c r="M542" s="8"/>
      <c r="N542" s="8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24"/>
      <c r="J543" s="24"/>
      <c r="K543" s="25"/>
      <c r="L543" s="24"/>
      <c r="M543" s="8"/>
      <c r="N543" s="8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24"/>
      <c r="J544" s="24"/>
      <c r="K544" s="25"/>
      <c r="L544" s="24"/>
      <c r="M544" s="8"/>
      <c r="N544" s="8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24"/>
      <c r="J545" s="24"/>
      <c r="K545" s="25"/>
      <c r="L545" s="24"/>
      <c r="M545" s="8"/>
      <c r="N545" s="8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24"/>
      <c r="J546" s="24"/>
      <c r="K546" s="25"/>
      <c r="L546" s="24"/>
      <c r="M546" s="8"/>
      <c r="N546" s="8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24"/>
      <c r="J547" s="24"/>
      <c r="K547" s="25"/>
      <c r="L547" s="24"/>
      <c r="M547" s="8"/>
      <c r="N547" s="8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24"/>
      <c r="J548" s="24"/>
      <c r="K548" s="25"/>
      <c r="L548" s="24"/>
      <c r="M548" s="8"/>
      <c r="N548" s="8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24"/>
      <c r="J549" s="24"/>
      <c r="K549" s="25"/>
      <c r="L549" s="24"/>
      <c r="M549" s="8"/>
      <c r="N549" s="8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24"/>
      <c r="J550" s="24"/>
      <c r="K550" s="25"/>
      <c r="L550" s="24"/>
      <c r="M550" s="8"/>
      <c r="N550" s="8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24"/>
      <c r="J551" s="24"/>
      <c r="K551" s="25"/>
      <c r="L551" s="24"/>
      <c r="M551" s="8"/>
      <c r="N551" s="8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24"/>
      <c r="J552" s="24"/>
      <c r="K552" s="25"/>
      <c r="L552" s="24"/>
      <c r="M552" s="8"/>
      <c r="N552" s="8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24"/>
      <c r="J553" s="24"/>
      <c r="K553" s="25"/>
      <c r="L553" s="24"/>
      <c r="M553" s="8"/>
      <c r="N553" s="8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24"/>
      <c r="J554" s="24"/>
      <c r="K554" s="25"/>
      <c r="L554" s="24"/>
      <c r="M554" s="8"/>
      <c r="N554" s="8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24"/>
      <c r="J555" s="24"/>
      <c r="K555" s="25"/>
      <c r="L555" s="24"/>
      <c r="M555" s="8"/>
      <c r="N555" s="8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24"/>
      <c r="J556" s="24"/>
      <c r="K556" s="25"/>
      <c r="L556" s="24"/>
      <c r="M556" s="8"/>
      <c r="N556" s="8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24"/>
      <c r="J557" s="24"/>
      <c r="K557" s="25"/>
      <c r="L557" s="24"/>
      <c r="M557" s="8"/>
      <c r="N557" s="8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24"/>
      <c r="J558" s="24"/>
      <c r="K558" s="25"/>
      <c r="L558" s="24"/>
      <c r="M558" s="8"/>
      <c r="N558" s="8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24"/>
      <c r="J559" s="24"/>
      <c r="K559" s="25"/>
      <c r="L559" s="24"/>
      <c r="M559" s="8"/>
      <c r="N559" s="8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24"/>
      <c r="J560" s="24"/>
      <c r="K560" s="25"/>
      <c r="L560" s="24"/>
      <c r="M560" s="8"/>
      <c r="N560" s="8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24"/>
      <c r="J561" s="24"/>
      <c r="K561" s="25"/>
      <c r="L561" s="24"/>
      <c r="M561" s="8"/>
      <c r="N561" s="8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24"/>
      <c r="J562" s="24"/>
      <c r="K562" s="25"/>
      <c r="L562" s="24"/>
      <c r="M562" s="8"/>
      <c r="N562" s="8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24"/>
      <c r="J563" s="24"/>
      <c r="K563" s="25"/>
      <c r="L563" s="24"/>
      <c r="M563" s="8"/>
      <c r="N563" s="8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24"/>
      <c r="J564" s="24"/>
      <c r="K564" s="25"/>
      <c r="L564" s="24"/>
      <c r="M564" s="8"/>
      <c r="N564" s="8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24"/>
      <c r="J565" s="24"/>
      <c r="K565" s="25"/>
      <c r="L565" s="24"/>
      <c r="M565" s="8"/>
      <c r="N565" s="8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24"/>
      <c r="J566" s="24"/>
      <c r="K566" s="25"/>
      <c r="L566" s="24"/>
      <c r="M566" s="8"/>
      <c r="N566" s="8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24"/>
      <c r="J567" s="24"/>
      <c r="K567" s="25"/>
      <c r="L567" s="24"/>
      <c r="M567" s="8"/>
      <c r="N567" s="8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24"/>
      <c r="J568" s="24"/>
      <c r="K568" s="25"/>
      <c r="L568" s="24"/>
      <c r="M568" s="8"/>
      <c r="N568" s="8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24"/>
      <c r="J569" s="24"/>
      <c r="K569" s="25"/>
      <c r="L569" s="24"/>
      <c r="M569" s="8"/>
      <c r="N569" s="8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24"/>
      <c r="J570" s="24"/>
      <c r="K570" s="25"/>
      <c r="L570" s="24"/>
      <c r="M570" s="8"/>
      <c r="N570" s="8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24"/>
      <c r="J571" s="24"/>
      <c r="K571" s="25"/>
      <c r="L571" s="24"/>
      <c r="M571" s="8"/>
      <c r="N571" s="8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24"/>
      <c r="J572" s="24"/>
      <c r="K572" s="25"/>
      <c r="L572" s="24"/>
      <c r="M572" s="8"/>
      <c r="N572" s="8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24"/>
      <c r="J573" s="24"/>
      <c r="K573" s="25"/>
      <c r="L573" s="24"/>
      <c r="M573" s="8"/>
      <c r="N573" s="8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24"/>
      <c r="J574" s="24"/>
      <c r="K574" s="25"/>
      <c r="L574" s="24"/>
      <c r="M574" s="8"/>
      <c r="N574" s="8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24"/>
      <c r="J575" s="24"/>
      <c r="K575" s="25"/>
      <c r="L575" s="24"/>
      <c r="M575" s="8"/>
      <c r="N575" s="8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24"/>
      <c r="J576" s="24"/>
      <c r="K576" s="25"/>
      <c r="L576" s="24"/>
      <c r="M576" s="8"/>
      <c r="N576" s="8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24"/>
      <c r="J577" s="24"/>
      <c r="K577" s="25"/>
      <c r="L577" s="24"/>
      <c r="M577" s="8"/>
      <c r="N577" s="8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24"/>
      <c r="J578" s="24"/>
      <c r="K578" s="25"/>
      <c r="L578" s="24"/>
      <c r="M578" s="8"/>
      <c r="N578" s="8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24"/>
      <c r="J579" s="24"/>
      <c r="K579" s="25"/>
      <c r="L579" s="24"/>
      <c r="M579" s="8"/>
      <c r="N579" s="8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24"/>
      <c r="J580" s="24"/>
      <c r="K580" s="25"/>
      <c r="L580" s="24"/>
      <c r="M580" s="8"/>
      <c r="N580" s="8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24"/>
      <c r="J581" s="24"/>
      <c r="K581" s="25"/>
      <c r="L581" s="24"/>
      <c r="M581" s="8"/>
      <c r="N581" s="8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24"/>
      <c r="J582" s="24"/>
      <c r="K582" s="25"/>
      <c r="L582" s="24"/>
      <c r="M582" s="8"/>
      <c r="N582" s="8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24"/>
      <c r="J583" s="24"/>
      <c r="K583" s="25"/>
      <c r="L583" s="24"/>
      <c r="M583" s="8"/>
      <c r="N583" s="8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24"/>
      <c r="J584" s="24"/>
      <c r="K584" s="25"/>
      <c r="L584" s="24"/>
      <c r="M584" s="8"/>
      <c r="N584" s="8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24"/>
      <c r="J585" s="24"/>
      <c r="K585" s="25"/>
      <c r="L585" s="24"/>
      <c r="M585" s="8"/>
      <c r="N585" s="8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24"/>
      <c r="J586" s="24"/>
      <c r="K586" s="25"/>
      <c r="L586" s="24"/>
      <c r="M586" s="8"/>
      <c r="N586" s="8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24"/>
      <c r="J587" s="24"/>
      <c r="K587" s="25"/>
      <c r="L587" s="24"/>
      <c r="M587" s="8"/>
      <c r="N587" s="8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24"/>
      <c r="J588" s="24"/>
      <c r="K588" s="25"/>
      <c r="L588" s="24"/>
      <c r="M588" s="8"/>
      <c r="N588" s="8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24"/>
      <c r="J589" s="24"/>
      <c r="K589" s="25"/>
      <c r="L589" s="24"/>
      <c r="M589" s="8"/>
      <c r="N589" s="8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24"/>
      <c r="J590" s="24"/>
      <c r="K590" s="25"/>
      <c r="L590" s="24"/>
      <c r="M590" s="8"/>
      <c r="N590" s="8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24"/>
      <c r="J591" s="24"/>
      <c r="K591" s="25"/>
      <c r="L591" s="24"/>
      <c r="M591" s="8"/>
      <c r="N591" s="8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24"/>
      <c r="J592" s="24"/>
      <c r="K592" s="25"/>
      <c r="L592" s="24"/>
      <c r="M592" s="8"/>
      <c r="N592" s="8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24"/>
      <c r="J593" s="24"/>
      <c r="K593" s="25"/>
      <c r="L593" s="24"/>
      <c r="M593" s="8"/>
      <c r="N593" s="8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24"/>
      <c r="J594" s="24"/>
      <c r="K594" s="25"/>
      <c r="L594" s="24"/>
      <c r="M594" s="8"/>
      <c r="N594" s="8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24"/>
      <c r="J595" s="24"/>
      <c r="K595" s="25"/>
      <c r="L595" s="24"/>
      <c r="M595" s="8"/>
      <c r="N595" s="8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24"/>
      <c r="J596" s="24"/>
      <c r="K596" s="25"/>
      <c r="L596" s="24"/>
      <c r="M596" s="8"/>
      <c r="N596" s="8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24"/>
      <c r="J597" s="24"/>
      <c r="K597" s="25"/>
      <c r="L597" s="24"/>
      <c r="M597" s="8"/>
      <c r="N597" s="8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24"/>
      <c r="J598" s="24"/>
      <c r="K598" s="25"/>
      <c r="L598" s="24"/>
      <c r="M598" s="8"/>
      <c r="N598" s="8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24"/>
      <c r="J599" s="24"/>
      <c r="K599" s="25"/>
      <c r="L599" s="24"/>
      <c r="M599" s="8"/>
      <c r="N599" s="8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24"/>
      <c r="J600" s="24"/>
      <c r="K600" s="25"/>
      <c r="L600" s="24"/>
      <c r="M600" s="8"/>
      <c r="N600" s="8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24"/>
      <c r="J601" s="24"/>
      <c r="K601" s="25"/>
      <c r="L601" s="24"/>
      <c r="M601" s="8"/>
      <c r="N601" s="8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24"/>
      <c r="J602" s="24"/>
      <c r="K602" s="25"/>
      <c r="L602" s="24"/>
      <c r="M602" s="8"/>
      <c r="N602" s="8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24"/>
      <c r="J603" s="24"/>
      <c r="K603" s="25"/>
      <c r="L603" s="24"/>
      <c r="M603" s="8"/>
      <c r="N603" s="8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24"/>
      <c r="J604" s="24"/>
      <c r="K604" s="25"/>
      <c r="L604" s="24"/>
      <c r="M604" s="8"/>
      <c r="N604" s="8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24"/>
      <c r="J605" s="24"/>
      <c r="K605" s="25"/>
      <c r="L605" s="24"/>
      <c r="M605" s="8"/>
      <c r="N605" s="8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24"/>
      <c r="J606" s="24"/>
      <c r="K606" s="25"/>
      <c r="L606" s="24"/>
      <c r="M606" s="8"/>
      <c r="N606" s="8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24"/>
      <c r="J607" s="24"/>
      <c r="K607" s="25"/>
      <c r="L607" s="24"/>
      <c r="M607" s="8"/>
      <c r="N607" s="8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24"/>
      <c r="J608" s="24"/>
      <c r="K608" s="25"/>
      <c r="L608" s="24"/>
      <c r="M608" s="8"/>
      <c r="N608" s="8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24"/>
      <c r="J609" s="24"/>
      <c r="K609" s="25"/>
      <c r="L609" s="24"/>
      <c r="M609" s="8"/>
      <c r="N609" s="8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24"/>
      <c r="J610" s="24"/>
      <c r="K610" s="25"/>
      <c r="L610" s="24"/>
      <c r="M610" s="8"/>
      <c r="N610" s="8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24"/>
      <c r="J611" s="24"/>
      <c r="K611" s="25"/>
      <c r="L611" s="24"/>
      <c r="M611" s="8"/>
      <c r="N611" s="8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24"/>
      <c r="J612" s="24"/>
      <c r="K612" s="25"/>
      <c r="L612" s="24"/>
      <c r="M612" s="8"/>
      <c r="N612" s="8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24"/>
      <c r="J613" s="24"/>
      <c r="K613" s="25"/>
      <c r="L613" s="24"/>
      <c r="M613" s="8"/>
      <c r="N613" s="8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24"/>
      <c r="J614" s="24"/>
      <c r="K614" s="25"/>
      <c r="L614" s="24"/>
      <c r="M614" s="8"/>
      <c r="N614" s="8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24"/>
      <c r="J615" s="24"/>
      <c r="K615" s="25"/>
      <c r="L615" s="24"/>
      <c r="M615" s="8"/>
      <c r="N615" s="8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24"/>
      <c r="J616" s="24"/>
      <c r="K616" s="25"/>
      <c r="L616" s="24"/>
      <c r="M616" s="8"/>
      <c r="N616" s="8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24"/>
      <c r="J617" s="24"/>
      <c r="K617" s="25"/>
      <c r="L617" s="24"/>
      <c r="M617" s="8"/>
      <c r="N617" s="8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24"/>
      <c r="J618" s="24"/>
      <c r="K618" s="25"/>
      <c r="L618" s="24"/>
      <c r="M618" s="8"/>
      <c r="N618" s="8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24"/>
      <c r="J619" s="24"/>
      <c r="K619" s="25"/>
      <c r="L619" s="24"/>
      <c r="M619" s="8"/>
      <c r="N619" s="8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24"/>
      <c r="J620" s="24"/>
      <c r="K620" s="25"/>
      <c r="L620" s="24"/>
      <c r="M620" s="8"/>
      <c r="N620" s="8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24"/>
      <c r="J621" s="24"/>
      <c r="K621" s="25"/>
      <c r="L621" s="24"/>
      <c r="M621" s="8"/>
      <c r="N621" s="8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24"/>
      <c r="J622" s="24"/>
      <c r="K622" s="25"/>
      <c r="L622" s="24"/>
      <c r="M622" s="8"/>
      <c r="N622" s="8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24"/>
      <c r="J623" s="24"/>
      <c r="K623" s="25"/>
      <c r="L623" s="24"/>
      <c r="M623" s="8"/>
      <c r="N623" s="8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24"/>
      <c r="J624" s="24"/>
      <c r="K624" s="25"/>
      <c r="L624" s="24"/>
      <c r="M624" s="8"/>
      <c r="N624" s="8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24"/>
      <c r="J625" s="24"/>
      <c r="K625" s="25"/>
      <c r="L625" s="24"/>
      <c r="M625" s="8"/>
      <c r="N625" s="8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24"/>
      <c r="J626" s="24"/>
      <c r="K626" s="25"/>
      <c r="L626" s="24"/>
      <c r="M626" s="8"/>
      <c r="N626" s="8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24"/>
      <c r="J627" s="24"/>
      <c r="K627" s="25"/>
      <c r="L627" s="24"/>
      <c r="M627" s="8"/>
      <c r="N627" s="8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24"/>
      <c r="J628" s="24"/>
      <c r="K628" s="25"/>
      <c r="L628" s="24"/>
      <c r="M628" s="8"/>
      <c r="N628" s="8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24"/>
      <c r="J629" s="24"/>
      <c r="K629" s="25"/>
      <c r="L629" s="24"/>
      <c r="M629" s="8"/>
      <c r="N629" s="8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24"/>
      <c r="J630" s="24"/>
      <c r="K630" s="25"/>
      <c r="L630" s="24"/>
      <c r="M630" s="8"/>
      <c r="N630" s="8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24"/>
      <c r="J631" s="24"/>
      <c r="K631" s="25"/>
      <c r="L631" s="24"/>
      <c r="M631" s="8"/>
      <c r="N631" s="8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24"/>
      <c r="J632" s="24"/>
      <c r="K632" s="25"/>
      <c r="L632" s="24"/>
      <c r="M632" s="8"/>
      <c r="N632" s="8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24"/>
      <c r="J633" s="24"/>
      <c r="K633" s="25"/>
      <c r="L633" s="24"/>
      <c r="M633" s="8"/>
      <c r="N633" s="8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24"/>
      <c r="J634" s="24"/>
      <c r="K634" s="25"/>
      <c r="L634" s="24"/>
      <c r="M634" s="8"/>
      <c r="N634" s="8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24"/>
      <c r="J635" s="24"/>
      <c r="K635" s="25"/>
      <c r="L635" s="24"/>
      <c r="M635" s="8"/>
      <c r="N635" s="8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24"/>
      <c r="J636" s="24"/>
      <c r="K636" s="25"/>
      <c r="L636" s="24"/>
      <c r="M636" s="8"/>
      <c r="N636" s="8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24"/>
      <c r="J637" s="24"/>
      <c r="K637" s="25"/>
      <c r="L637" s="24"/>
      <c r="M637" s="8"/>
      <c r="N637" s="8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24"/>
      <c r="J638" s="24"/>
      <c r="K638" s="25"/>
      <c r="L638" s="24"/>
      <c r="M638" s="8"/>
      <c r="N638" s="8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24"/>
      <c r="J639" s="24"/>
      <c r="K639" s="25"/>
      <c r="L639" s="24"/>
      <c r="M639" s="8"/>
      <c r="N639" s="8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24"/>
      <c r="J640" s="24"/>
      <c r="K640" s="25"/>
      <c r="L640" s="24"/>
      <c r="M640" s="8"/>
      <c r="N640" s="8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24"/>
      <c r="J641" s="24"/>
      <c r="K641" s="25"/>
      <c r="L641" s="24"/>
      <c r="M641" s="8"/>
      <c r="N641" s="8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24"/>
      <c r="J642" s="24"/>
      <c r="K642" s="25"/>
      <c r="L642" s="24"/>
      <c r="M642" s="8"/>
      <c r="N642" s="8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24"/>
      <c r="J643" s="24"/>
      <c r="K643" s="25"/>
      <c r="L643" s="24"/>
      <c r="M643" s="8"/>
      <c r="N643" s="8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24"/>
      <c r="J644" s="24"/>
      <c r="K644" s="25"/>
      <c r="L644" s="24"/>
      <c r="M644" s="8"/>
      <c r="N644" s="8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24"/>
      <c r="J645" s="24"/>
      <c r="K645" s="25"/>
      <c r="L645" s="24"/>
      <c r="M645" s="8"/>
      <c r="N645" s="8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24"/>
      <c r="J646" s="24"/>
      <c r="K646" s="25"/>
      <c r="L646" s="24"/>
      <c r="M646" s="8"/>
      <c r="N646" s="8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24"/>
      <c r="J647" s="24"/>
      <c r="K647" s="25"/>
      <c r="L647" s="24"/>
      <c r="M647" s="8"/>
      <c r="N647" s="8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24"/>
      <c r="J648" s="24"/>
      <c r="K648" s="25"/>
      <c r="L648" s="24"/>
      <c r="M648" s="8"/>
      <c r="N648" s="8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24"/>
      <c r="J649" s="24"/>
      <c r="K649" s="25"/>
      <c r="L649" s="24"/>
      <c r="M649" s="8"/>
      <c r="N649" s="8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24"/>
      <c r="J650" s="24"/>
      <c r="K650" s="25"/>
      <c r="L650" s="24"/>
      <c r="M650" s="8"/>
      <c r="N650" s="8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24"/>
      <c r="J651" s="24"/>
      <c r="K651" s="25"/>
      <c r="L651" s="24"/>
      <c r="M651" s="8"/>
      <c r="N651" s="8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24"/>
      <c r="J652" s="24"/>
      <c r="K652" s="25"/>
      <c r="L652" s="24"/>
      <c r="M652" s="8"/>
      <c r="N652" s="8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24"/>
      <c r="J653" s="24"/>
      <c r="K653" s="25"/>
      <c r="L653" s="24"/>
      <c r="M653" s="8"/>
      <c r="N653" s="8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24"/>
      <c r="J654" s="24"/>
      <c r="K654" s="25"/>
      <c r="L654" s="24"/>
      <c r="M654" s="8"/>
      <c r="N654" s="8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24"/>
      <c r="J655" s="24"/>
      <c r="K655" s="25"/>
      <c r="L655" s="24"/>
      <c r="M655" s="8"/>
      <c r="N655" s="8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24"/>
      <c r="J656" s="24"/>
      <c r="K656" s="25"/>
      <c r="L656" s="24"/>
      <c r="M656" s="8"/>
      <c r="N656" s="8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24"/>
      <c r="J657" s="24"/>
      <c r="K657" s="25"/>
      <c r="L657" s="24"/>
      <c r="M657" s="8"/>
      <c r="N657" s="8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24"/>
      <c r="J658" s="24"/>
      <c r="K658" s="25"/>
      <c r="L658" s="24"/>
      <c r="M658" s="8"/>
      <c r="N658" s="8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24"/>
      <c r="J659" s="24"/>
      <c r="K659" s="25"/>
      <c r="L659" s="24"/>
      <c r="M659" s="8"/>
      <c r="N659" s="8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24"/>
      <c r="J660" s="24"/>
      <c r="K660" s="25"/>
      <c r="L660" s="24"/>
      <c r="M660" s="8"/>
      <c r="N660" s="8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24"/>
      <c r="J661" s="24"/>
      <c r="K661" s="25"/>
      <c r="L661" s="24"/>
      <c r="M661" s="8"/>
      <c r="N661" s="8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24"/>
      <c r="J662" s="24"/>
      <c r="K662" s="25"/>
      <c r="L662" s="24"/>
      <c r="M662" s="8"/>
      <c r="N662" s="8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24"/>
      <c r="J663" s="24"/>
      <c r="K663" s="25"/>
      <c r="L663" s="24"/>
      <c r="M663" s="8"/>
      <c r="N663" s="8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24"/>
      <c r="J664" s="24"/>
      <c r="K664" s="25"/>
      <c r="L664" s="24"/>
      <c r="M664" s="8"/>
      <c r="N664" s="8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24"/>
      <c r="J665" s="24"/>
      <c r="K665" s="25"/>
      <c r="L665" s="24"/>
      <c r="M665" s="8"/>
      <c r="N665" s="8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24"/>
      <c r="J666" s="24"/>
      <c r="K666" s="25"/>
      <c r="L666" s="24"/>
      <c r="M666" s="8"/>
      <c r="N666" s="8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24"/>
      <c r="J667" s="24"/>
      <c r="K667" s="25"/>
      <c r="L667" s="24"/>
      <c r="M667" s="8"/>
      <c r="N667" s="8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24"/>
      <c r="J668" s="24"/>
      <c r="K668" s="25"/>
      <c r="L668" s="24"/>
      <c r="M668" s="8"/>
      <c r="N668" s="8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24"/>
      <c r="J669" s="24"/>
      <c r="K669" s="25"/>
      <c r="L669" s="24"/>
      <c r="M669" s="8"/>
      <c r="N669" s="8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24"/>
      <c r="J670" s="24"/>
      <c r="K670" s="25"/>
      <c r="L670" s="24"/>
      <c r="M670" s="8"/>
      <c r="N670" s="8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24"/>
      <c r="J671" s="24"/>
      <c r="K671" s="25"/>
      <c r="L671" s="24"/>
      <c r="M671" s="8"/>
      <c r="N671" s="8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24"/>
      <c r="J672" s="24"/>
      <c r="K672" s="25"/>
      <c r="L672" s="24"/>
      <c r="M672" s="8"/>
      <c r="N672" s="8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24"/>
      <c r="J673" s="24"/>
      <c r="K673" s="25"/>
      <c r="L673" s="24"/>
      <c r="M673" s="8"/>
      <c r="N673" s="8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24"/>
      <c r="J674" s="24"/>
      <c r="K674" s="25"/>
      <c r="L674" s="24"/>
      <c r="M674" s="8"/>
      <c r="N674" s="8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24"/>
      <c r="J675" s="24"/>
      <c r="K675" s="25"/>
      <c r="L675" s="24"/>
      <c r="M675" s="8"/>
      <c r="N675" s="8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24"/>
      <c r="J676" s="24"/>
      <c r="K676" s="25"/>
      <c r="L676" s="24"/>
      <c r="M676" s="8"/>
      <c r="N676" s="8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24"/>
      <c r="J677" s="24"/>
      <c r="K677" s="25"/>
      <c r="L677" s="24"/>
      <c r="M677" s="8"/>
      <c r="N677" s="8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24"/>
      <c r="J678" s="24"/>
      <c r="K678" s="25"/>
      <c r="L678" s="24"/>
      <c r="M678" s="8"/>
      <c r="N678" s="8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24"/>
      <c r="J679" s="24"/>
      <c r="K679" s="25"/>
      <c r="L679" s="24"/>
      <c r="M679" s="8"/>
      <c r="N679" s="8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24"/>
      <c r="J680" s="24"/>
      <c r="K680" s="25"/>
      <c r="L680" s="24"/>
      <c r="M680" s="8"/>
      <c r="N680" s="8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24"/>
      <c r="J681" s="24"/>
      <c r="K681" s="25"/>
      <c r="L681" s="24"/>
      <c r="M681" s="8"/>
      <c r="N681" s="8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24"/>
      <c r="J682" s="24"/>
      <c r="K682" s="25"/>
      <c r="L682" s="24"/>
      <c r="M682" s="8"/>
      <c r="N682" s="8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24"/>
      <c r="J683" s="24"/>
      <c r="K683" s="25"/>
      <c r="L683" s="24"/>
      <c r="M683" s="8"/>
      <c r="N683" s="8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24"/>
      <c r="J684" s="24"/>
      <c r="K684" s="25"/>
      <c r="L684" s="24"/>
      <c r="M684" s="8"/>
      <c r="N684" s="8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24"/>
      <c r="J685" s="24"/>
      <c r="K685" s="25"/>
      <c r="L685" s="24"/>
      <c r="M685" s="8"/>
      <c r="N685" s="8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24"/>
      <c r="J686" s="24"/>
      <c r="K686" s="25"/>
      <c r="L686" s="24"/>
      <c r="M686" s="8"/>
      <c r="N686" s="8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24"/>
      <c r="J687" s="24"/>
      <c r="K687" s="25"/>
      <c r="L687" s="24"/>
      <c r="M687" s="8"/>
      <c r="N687" s="8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24"/>
      <c r="J688" s="24"/>
      <c r="K688" s="25"/>
      <c r="L688" s="24"/>
      <c r="M688" s="8"/>
      <c r="N688" s="8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24"/>
      <c r="J689" s="24"/>
      <c r="K689" s="25"/>
      <c r="L689" s="24"/>
      <c r="M689" s="8"/>
      <c r="N689" s="8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24"/>
      <c r="J690" s="24"/>
      <c r="K690" s="25"/>
      <c r="L690" s="24"/>
      <c r="M690" s="8"/>
      <c r="N690" s="8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24"/>
      <c r="J691" s="24"/>
      <c r="K691" s="25"/>
      <c r="L691" s="24"/>
      <c r="M691" s="8"/>
      <c r="N691" s="8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24"/>
      <c r="J692" s="24"/>
      <c r="K692" s="25"/>
      <c r="L692" s="24"/>
      <c r="M692" s="8"/>
      <c r="N692" s="8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24"/>
      <c r="J693" s="24"/>
      <c r="K693" s="25"/>
      <c r="L693" s="24"/>
      <c r="M693" s="8"/>
      <c r="N693" s="8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24"/>
      <c r="J694" s="24"/>
      <c r="K694" s="25"/>
      <c r="L694" s="24"/>
      <c r="M694" s="8"/>
      <c r="N694" s="8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24"/>
      <c r="J695" s="24"/>
      <c r="K695" s="25"/>
      <c r="L695" s="24"/>
      <c r="M695" s="8"/>
      <c r="N695" s="8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24"/>
      <c r="J696" s="24"/>
      <c r="K696" s="25"/>
      <c r="L696" s="24"/>
      <c r="M696" s="8"/>
      <c r="N696" s="8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24"/>
      <c r="J697" s="24"/>
      <c r="K697" s="25"/>
      <c r="L697" s="24"/>
      <c r="M697" s="8"/>
      <c r="N697" s="8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24"/>
      <c r="J698" s="24"/>
      <c r="K698" s="25"/>
      <c r="L698" s="24"/>
      <c r="M698" s="8"/>
      <c r="N698" s="8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24"/>
      <c r="J699" s="24"/>
      <c r="K699" s="25"/>
      <c r="L699" s="24"/>
      <c r="M699" s="8"/>
      <c r="N699" s="8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24"/>
      <c r="J700" s="24"/>
      <c r="K700" s="25"/>
      <c r="L700" s="24"/>
      <c r="M700" s="8"/>
      <c r="N700" s="8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24"/>
      <c r="J701" s="24"/>
      <c r="K701" s="25"/>
      <c r="L701" s="24"/>
      <c r="M701" s="8"/>
      <c r="N701" s="8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24"/>
      <c r="J702" s="24"/>
      <c r="K702" s="25"/>
      <c r="L702" s="24"/>
      <c r="M702" s="8"/>
      <c r="N702" s="8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24"/>
      <c r="J703" s="24"/>
      <c r="K703" s="25"/>
      <c r="L703" s="24"/>
      <c r="M703" s="8"/>
      <c r="N703" s="8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24"/>
      <c r="J704" s="24"/>
      <c r="K704" s="25"/>
      <c r="L704" s="24"/>
      <c r="M704" s="8"/>
      <c r="N704" s="8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24"/>
      <c r="J705" s="24"/>
      <c r="K705" s="25"/>
      <c r="L705" s="24"/>
      <c r="M705" s="8"/>
      <c r="N705" s="8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24"/>
      <c r="J706" s="24"/>
      <c r="K706" s="25"/>
      <c r="L706" s="24"/>
      <c r="M706" s="8"/>
      <c r="N706" s="8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24"/>
      <c r="J707" s="24"/>
      <c r="K707" s="25"/>
      <c r="L707" s="24"/>
      <c r="M707" s="8"/>
      <c r="N707" s="8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24"/>
      <c r="J708" s="24"/>
      <c r="K708" s="25"/>
      <c r="L708" s="24"/>
      <c r="M708" s="8"/>
      <c r="N708" s="8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24"/>
      <c r="J709" s="24"/>
      <c r="K709" s="25"/>
      <c r="L709" s="24"/>
      <c r="M709" s="8"/>
      <c r="N709" s="8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24"/>
      <c r="J710" s="24"/>
      <c r="K710" s="25"/>
      <c r="L710" s="24"/>
      <c r="M710" s="8"/>
      <c r="N710" s="8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24"/>
      <c r="J711" s="24"/>
      <c r="K711" s="25"/>
      <c r="L711" s="24"/>
      <c r="M711" s="8"/>
      <c r="N711" s="8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24"/>
      <c r="J712" s="24"/>
      <c r="K712" s="25"/>
      <c r="L712" s="24"/>
      <c r="M712" s="8"/>
      <c r="N712" s="8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24"/>
      <c r="J713" s="24"/>
      <c r="K713" s="25"/>
      <c r="L713" s="24"/>
      <c r="M713" s="8"/>
      <c r="N713" s="8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24"/>
      <c r="J714" s="24"/>
      <c r="K714" s="25"/>
      <c r="L714" s="24"/>
      <c r="M714" s="8"/>
      <c r="N714" s="8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24"/>
      <c r="J715" s="24"/>
      <c r="K715" s="25"/>
      <c r="L715" s="24"/>
      <c r="M715" s="8"/>
      <c r="N715" s="8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24"/>
      <c r="J716" s="24"/>
      <c r="K716" s="25"/>
      <c r="L716" s="24"/>
      <c r="M716" s="8"/>
      <c r="N716" s="8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24"/>
      <c r="J717" s="24"/>
      <c r="K717" s="25"/>
      <c r="L717" s="24"/>
      <c r="M717" s="8"/>
      <c r="N717" s="8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24"/>
      <c r="J718" s="24"/>
      <c r="K718" s="25"/>
      <c r="L718" s="24"/>
      <c r="M718" s="8"/>
      <c r="N718" s="8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24"/>
      <c r="J719" s="24"/>
      <c r="K719" s="25"/>
      <c r="L719" s="24"/>
      <c r="M719" s="8"/>
      <c r="N719" s="8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24"/>
      <c r="J720" s="24"/>
      <c r="K720" s="25"/>
      <c r="L720" s="24"/>
      <c r="M720" s="8"/>
      <c r="N720" s="8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24"/>
      <c r="J721" s="24"/>
      <c r="K721" s="25"/>
      <c r="L721" s="24"/>
      <c r="M721" s="8"/>
      <c r="N721" s="8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24"/>
      <c r="J722" s="24"/>
      <c r="K722" s="25"/>
      <c r="L722" s="24"/>
      <c r="M722" s="8"/>
      <c r="N722" s="8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24"/>
      <c r="J723" s="24"/>
      <c r="K723" s="25"/>
      <c r="L723" s="24"/>
      <c r="M723" s="8"/>
      <c r="N723" s="8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24"/>
      <c r="J724" s="24"/>
      <c r="K724" s="25"/>
      <c r="L724" s="24"/>
      <c r="M724" s="8"/>
      <c r="N724" s="8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24"/>
      <c r="J725" s="24"/>
      <c r="K725" s="25"/>
      <c r="L725" s="24"/>
      <c r="M725" s="8"/>
      <c r="N725" s="8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24"/>
      <c r="J726" s="24"/>
      <c r="K726" s="25"/>
      <c r="L726" s="24"/>
      <c r="M726" s="8"/>
      <c r="N726" s="8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24"/>
      <c r="J727" s="24"/>
      <c r="K727" s="25"/>
      <c r="L727" s="24"/>
      <c r="M727" s="8"/>
      <c r="N727" s="8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24"/>
      <c r="J728" s="24"/>
      <c r="K728" s="25"/>
      <c r="L728" s="24"/>
      <c r="M728" s="8"/>
      <c r="N728" s="8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24"/>
      <c r="J729" s="24"/>
      <c r="K729" s="25"/>
      <c r="L729" s="24"/>
      <c r="M729" s="8"/>
      <c r="N729" s="8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24"/>
      <c r="J730" s="24"/>
      <c r="K730" s="25"/>
      <c r="L730" s="24"/>
      <c r="M730" s="8"/>
      <c r="N730" s="8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24"/>
      <c r="J731" s="24"/>
      <c r="K731" s="25"/>
      <c r="L731" s="24"/>
      <c r="M731" s="8"/>
      <c r="N731" s="8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24"/>
      <c r="J732" s="24"/>
      <c r="K732" s="25"/>
      <c r="L732" s="24"/>
      <c r="M732" s="8"/>
      <c r="N732" s="8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24"/>
      <c r="J733" s="24"/>
      <c r="K733" s="25"/>
      <c r="L733" s="24"/>
      <c r="M733" s="8"/>
      <c r="N733" s="8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24"/>
      <c r="J734" s="24"/>
      <c r="K734" s="25"/>
      <c r="L734" s="24"/>
      <c r="M734" s="8"/>
      <c r="N734" s="8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24"/>
      <c r="J735" s="24"/>
      <c r="K735" s="25"/>
      <c r="L735" s="24"/>
      <c r="M735" s="8"/>
      <c r="N735" s="8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24"/>
      <c r="J736" s="24"/>
      <c r="K736" s="25"/>
      <c r="L736" s="24"/>
      <c r="M736" s="8"/>
      <c r="N736" s="8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24"/>
      <c r="J737" s="24"/>
      <c r="K737" s="25"/>
      <c r="L737" s="24"/>
      <c r="M737" s="8"/>
      <c r="N737" s="8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24"/>
      <c r="J738" s="24"/>
      <c r="K738" s="25"/>
      <c r="L738" s="24"/>
      <c r="M738" s="8"/>
      <c r="N738" s="8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24"/>
      <c r="J739" s="24"/>
      <c r="K739" s="25"/>
      <c r="L739" s="24"/>
      <c r="M739" s="8"/>
      <c r="N739" s="8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24"/>
      <c r="J740" s="24"/>
      <c r="K740" s="25"/>
      <c r="L740" s="24"/>
      <c r="M740" s="8"/>
      <c r="N740" s="8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24"/>
      <c r="J741" s="24"/>
      <c r="K741" s="25"/>
      <c r="L741" s="24"/>
      <c r="M741" s="8"/>
      <c r="N741" s="8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24"/>
      <c r="J742" s="24"/>
      <c r="K742" s="25"/>
      <c r="L742" s="24"/>
      <c r="M742" s="8"/>
      <c r="N742" s="8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24"/>
      <c r="J743" s="24"/>
      <c r="K743" s="25"/>
      <c r="L743" s="24"/>
      <c r="M743" s="8"/>
      <c r="N743" s="8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24"/>
      <c r="J744" s="24"/>
      <c r="K744" s="25"/>
      <c r="L744" s="24"/>
      <c r="M744" s="8"/>
      <c r="N744" s="8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24"/>
      <c r="J745" s="24"/>
      <c r="K745" s="25"/>
      <c r="L745" s="24"/>
      <c r="M745" s="8"/>
      <c r="N745" s="8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24"/>
      <c r="J746" s="24"/>
      <c r="K746" s="25"/>
      <c r="L746" s="24"/>
      <c r="M746" s="8"/>
      <c r="N746" s="8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24"/>
      <c r="J747" s="24"/>
      <c r="K747" s="25"/>
      <c r="L747" s="24"/>
      <c r="M747" s="8"/>
      <c r="N747" s="8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24"/>
      <c r="J748" s="24"/>
      <c r="K748" s="25"/>
      <c r="L748" s="24"/>
      <c r="M748" s="8"/>
      <c r="N748" s="8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24"/>
      <c r="J749" s="24"/>
      <c r="K749" s="25"/>
      <c r="L749" s="24"/>
      <c r="M749" s="8"/>
      <c r="N749" s="8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24"/>
      <c r="J750" s="24"/>
      <c r="K750" s="25"/>
      <c r="L750" s="24"/>
      <c r="M750" s="8"/>
      <c r="N750" s="8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24"/>
      <c r="J751" s="24"/>
      <c r="K751" s="25"/>
      <c r="L751" s="24"/>
      <c r="M751" s="8"/>
      <c r="N751" s="8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24"/>
      <c r="J752" s="24"/>
      <c r="K752" s="25"/>
      <c r="L752" s="24"/>
      <c r="M752" s="8"/>
      <c r="N752" s="8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24"/>
      <c r="J753" s="24"/>
      <c r="K753" s="25"/>
      <c r="L753" s="24"/>
      <c r="M753" s="8"/>
      <c r="N753" s="8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24"/>
      <c r="J754" s="24"/>
      <c r="K754" s="25"/>
      <c r="L754" s="24"/>
      <c r="M754" s="8"/>
      <c r="N754" s="8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24"/>
      <c r="J755" s="24"/>
      <c r="K755" s="25"/>
      <c r="L755" s="24"/>
      <c r="M755" s="8"/>
      <c r="N755" s="8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24"/>
      <c r="J756" s="24"/>
      <c r="K756" s="25"/>
      <c r="L756" s="24"/>
      <c r="M756" s="8"/>
      <c r="N756" s="8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24"/>
      <c r="J757" s="24"/>
      <c r="K757" s="25"/>
      <c r="L757" s="24"/>
      <c r="M757" s="8"/>
      <c r="N757" s="8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24"/>
      <c r="J758" s="24"/>
      <c r="K758" s="25"/>
      <c r="L758" s="24"/>
      <c r="M758" s="8"/>
      <c r="N758" s="8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24"/>
      <c r="J759" s="24"/>
      <c r="K759" s="25"/>
      <c r="L759" s="24"/>
      <c r="M759" s="8"/>
      <c r="N759" s="8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24"/>
      <c r="J760" s="24"/>
      <c r="K760" s="25"/>
      <c r="L760" s="24"/>
      <c r="M760" s="8"/>
      <c r="N760" s="8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24"/>
      <c r="J761" s="24"/>
      <c r="K761" s="25"/>
      <c r="L761" s="24"/>
      <c r="M761" s="8"/>
      <c r="N761" s="8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24"/>
      <c r="J762" s="24"/>
      <c r="K762" s="25"/>
      <c r="L762" s="24"/>
      <c r="M762" s="8"/>
      <c r="N762" s="8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24"/>
      <c r="J763" s="24"/>
      <c r="K763" s="25"/>
      <c r="L763" s="24"/>
      <c r="M763" s="8"/>
      <c r="N763" s="8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24"/>
      <c r="J764" s="24"/>
      <c r="K764" s="25"/>
      <c r="L764" s="24"/>
      <c r="M764" s="8"/>
      <c r="N764" s="8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24"/>
      <c r="J765" s="24"/>
      <c r="K765" s="25"/>
      <c r="L765" s="24"/>
      <c r="M765" s="8"/>
      <c r="N765" s="8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24"/>
      <c r="J766" s="24"/>
      <c r="K766" s="25"/>
      <c r="L766" s="24"/>
      <c r="M766" s="8"/>
      <c r="N766" s="8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24"/>
      <c r="J767" s="24"/>
      <c r="K767" s="25"/>
      <c r="L767" s="24"/>
      <c r="M767" s="8"/>
      <c r="N767" s="8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24"/>
      <c r="J768" s="24"/>
      <c r="K768" s="25"/>
      <c r="L768" s="24"/>
      <c r="M768" s="8"/>
      <c r="N768" s="8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24"/>
      <c r="J769" s="24"/>
      <c r="K769" s="25"/>
      <c r="L769" s="24"/>
      <c r="M769" s="8"/>
      <c r="N769" s="8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24"/>
      <c r="J770" s="24"/>
      <c r="K770" s="25"/>
      <c r="L770" s="24"/>
      <c r="M770" s="8"/>
      <c r="N770" s="8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24"/>
      <c r="J771" s="24"/>
      <c r="K771" s="25"/>
      <c r="L771" s="24"/>
      <c r="M771" s="8"/>
      <c r="N771" s="8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24"/>
      <c r="J772" s="24"/>
      <c r="K772" s="25"/>
      <c r="L772" s="24"/>
      <c r="M772" s="8"/>
      <c r="N772" s="8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24"/>
      <c r="J773" s="24"/>
      <c r="K773" s="25"/>
      <c r="L773" s="24"/>
      <c r="M773" s="8"/>
      <c r="N773" s="8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24"/>
      <c r="J774" s="24"/>
      <c r="K774" s="25"/>
      <c r="L774" s="24"/>
      <c r="M774" s="8"/>
      <c r="N774" s="8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24"/>
      <c r="J775" s="24"/>
      <c r="K775" s="25"/>
      <c r="L775" s="24"/>
      <c r="M775" s="8"/>
      <c r="N775" s="8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24"/>
      <c r="J776" s="24"/>
      <c r="K776" s="25"/>
      <c r="L776" s="24"/>
      <c r="M776" s="8"/>
      <c r="N776" s="8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24"/>
      <c r="J777" s="24"/>
      <c r="K777" s="25"/>
      <c r="L777" s="24"/>
      <c r="M777" s="8"/>
      <c r="N777" s="8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24"/>
      <c r="J778" s="24"/>
      <c r="K778" s="25"/>
      <c r="L778" s="24"/>
      <c r="M778" s="8"/>
      <c r="N778" s="8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24"/>
      <c r="J779" s="24"/>
      <c r="K779" s="25"/>
      <c r="L779" s="24"/>
      <c r="M779" s="8"/>
      <c r="N779" s="8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24"/>
      <c r="J780" s="24"/>
      <c r="K780" s="25"/>
      <c r="L780" s="24"/>
      <c r="M780" s="8"/>
      <c r="N780" s="8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24"/>
      <c r="J781" s="24"/>
      <c r="K781" s="25"/>
      <c r="L781" s="24"/>
      <c r="M781" s="8"/>
      <c r="N781" s="8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24"/>
      <c r="J782" s="24"/>
      <c r="K782" s="25"/>
      <c r="L782" s="24"/>
      <c r="M782" s="8"/>
      <c r="N782" s="8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24"/>
      <c r="J783" s="24"/>
      <c r="K783" s="25"/>
      <c r="L783" s="24"/>
      <c r="M783" s="8"/>
      <c r="N783" s="8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24"/>
      <c r="J784" s="24"/>
      <c r="K784" s="25"/>
      <c r="L784" s="24"/>
      <c r="M784" s="8"/>
      <c r="N784" s="8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24"/>
      <c r="J785" s="24"/>
      <c r="K785" s="25"/>
      <c r="L785" s="24"/>
      <c r="M785" s="8"/>
      <c r="N785" s="8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24"/>
      <c r="J786" s="24"/>
      <c r="K786" s="25"/>
      <c r="L786" s="24"/>
      <c r="M786" s="8"/>
      <c r="N786" s="8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24"/>
      <c r="J787" s="24"/>
      <c r="K787" s="25"/>
      <c r="L787" s="24"/>
      <c r="M787" s="8"/>
      <c r="N787" s="8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24"/>
      <c r="J788" s="24"/>
      <c r="K788" s="25"/>
      <c r="L788" s="24"/>
      <c r="M788" s="8"/>
      <c r="N788" s="8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24"/>
      <c r="J789" s="24"/>
      <c r="K789" s="25"/>
      <c r="L789" s="24"/>
      <c r="M789" s="8"/>
      <c r="N789" s="8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24"/>
      <c r="J790" s="24"/>
      <c r="K790" s="25"/>
      <c r="L790" s="24"/>
      <c r="M790" s="8"/>
      <c r="N790" s="8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24"/>
      <c r="J791" s="24"/>
      <c r="K791" s="25"/>
      <c r="L791" s="24"/>
      <c r="M791" s="8"/>
      <c r="N791" s="8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24"/>
      <c r="J792" s="24"/>
      <c r="K792" s="25"/>
      <c r="L792" s="24"/>
      <c r="M792" s="8"/>
      <c r="N792" s="8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24"/>
      <c r="J793" s="24"/>
      <c r="K793" s="25"/>
      <c r="L793" s="24"/>
      <c r="M793" s="8"/>
      <c r="N793" s="8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24"/>
      <c r="J794" s="24"/>
      <c r="K794" s="25"/>
      <c r="L794" s="24"/>
      <c r="M794" s="8"/>
      <c r="N794" s="8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24"/>
      <c r="J795" s="24"/>
      <c r="K795" s="25"/>
      <c r="L795" s="24"/>
      <c r="M795" s="8"/>
      <c r="N795" s="8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24"/>
      <c r="J796" s="24"/>
      <c r="K796" s="25"/>
      <c r="L796" s="24"/>
      <c r="M796" s="8"/>
      <c r="N796" s="8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24"/>
      <c r="J797" s="24"/>
      <c r="K797" s="25"/>
      <c r="L797" s="24"/>
      <c r="M797" s="8"/>
      <c r="N797" s="8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24"/>
      <c r="J798" s="24"/>
      <c r="K798" s="25"/>
      <c r="L798" s="24"/>
      <c r="M798" s="8"/>
      <c r="N798" s="8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24"/>
      <c r="J799" s="24"/>
      <c r="K799" s="25"/>
      <c r="L799" s="24"/>
      <c r="M799" s="8"/>
      <c r="N799" s="8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24"/>
      <c r="J800" s="24"/>
      <c r="K800" s="25"/>
      <c r="L800" s="24"/>
      <c r="M800" s="8"/>
      <c r="N800" s="8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24"/>
      <c r="J801" s="24"/>
      <c r="K801" s="25"/>
      <c r="L801" s="24"/>
      <c r="M801" s="8"/>
      <c r="N801" s="8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24"/>
      <c r="J802" s="24"/>
      <c r="K802" s="25"/>
      <c r="L802" s="24"/>
      <c r="M802" s="8"/>
      <c r="N802" s="8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24"/>
      <c r="J803" s="24"/>
      <c r="K803" s="25"/>
      <c r="L803" s="24"/>
      <c r="M803" s="8"/>
      <c r="N803" s="8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24"/>
      <c r="J804" s="24"/>
      <c r="K804" s="25"/>
      <c r="L804" s="24"/>
      <c r="M804" s="8"/>
      <c r="N804" s="8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24"/>
      <c r="J805" s="24"/>
      <c r="K805" s="25"/>
      <c r="L805" s="24"/>
      <c r="M805" s="8"/>
      <c r="N805" s="8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24"/>
      <c r="J806" s="24"/>
      <c r="K806" s="25"/>
      <c r="L806" s="24"/>
      <c r="M806" s="8"/>
      <c r="N806" s="8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24"/>
      <c r="J807" s="24"/>
      <c r="K807" s="25"/>
      <c r="L807" s="24"/>
      <c r="M807" s="8"/>
      <c r="N807" s="8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24"/>
      <c r="J808" s="24"/>
      <c r="K808" s="25"/>
      <c r="L808" s="24"/>
      <c r="M808" s="8"/>
      <c r="N808" s="8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24"/>
      <c r="J809" s="24"/>
      <c r="K809" s="25"/>
      <c r="L809" s="24"/>
      <c r="M809" s="8"/>
      <c r="N809" s="8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24"/>
      <c r="J810" s="24"/>
      <c r="K810" s="25"/>
      <c r="L810" s="24"/>
      <c r="M810" s="8"/>
      <c r="N810" s="8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24"/>
      <c r="J811" s="24"/>
      <c r="K811" s="25"/>
      <c r="L811" s="24"/>
      <c r="M811" s="8"/>
      <c r="N811" s="8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24"/>
      <c r="J812" s="24"/>
      <c r="K812" s="25"/>
      <c r="L812" s="24"/>
      <c r="M812" s="8"/>
      <c r="N812" s="8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24"/>
      <c r="J813" s="24"/>
      <c r="K813" s="25"/>
      <c r="L813" s="24"/>
      <c r="M813" s="8"/>
      <c r="N813" s="8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24"/>
      <c r="J814" s="24"/>
      <c r="K814" s="25"/>
      <c r="L814" s="24"/>
      <c r="M814" s="8"/>
      <c r="N814" s="8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24"/>
      <c r="J815" s="24"/>
      <c r="K815" s="25"/>
      <c r="L815" s="24"/>
      <c r="M815" s="8"/>
      <c r="N815" s="8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24"/>
      <c r="J816" s="24"/>
      <c r="K816" s="25"/>
      <c r="L816" s="24"/>
      <c r="M816" s="8"/>
      <c r="N816" s="8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24"/>
      <c r="J817" s="24"/>
      <c r="K817" s="25"/>
      <c r="L817" s="24"/>
      <c r="M817" s="8"/>
      <c r="N817" s="8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24"/>
      <c r="J818" s="24"/>
      <c r="K818" s="25"/>
      <c r="L818" s="24"/>
      <c r="M818" s="8"/>
      <c r="N818" s="8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24"/>
      <c r="J819" s="24"/>
      <c r="K819" s="25"/>
      <c r="L819" s="24"/>
      <c r="M819" s="8"/>
      <c r="N819" s="8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24"/>
      <c r="J820" s="24"/>
      <c r="K820" s="25"/>
      <c r="L820" s="24"/>
      <c r="M820" s="8"/>
      <c r="N820" s="8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24"/>
      <c r="J821" s="24"/>
      <c r="K821" s="25"/>
      <c r="L821" s="24"/>
      <c r="M821" s="8"/>
      <c r="N821" s="8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24"/>
      <c r="J822" s="24"/>
      <c r="K822" s="25"/>
      <c r="L822" s="24"/>
      <c r="M822" s="8"/>
      <c r="N822" s="8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24"/>
      <c r="J823" s="24"/>
      <c r="K823" s="25"/>
      <c r="L823" s="24"/>
      <c r="M823" s="8"/>
      <c r="N823" s="8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24"/>
      <c r="J824" s="24"/>
      <c r="K824" s="25"/>
      <c r="L824" s="24"/>
      <c r="M824" s="8"/>
      <c r="N824" s="8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24"/>
      <c r="J825" s="24"/>
      <c r="K825" s="25"/>
      <c r="L825" s="24"/>
      <c r="M825" s="8"/>
      <c r="N825" s="8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24"/>
      <c r="J826" s="24"/>
      <c r="K826" s="25"/>
      <c r="L826" s="24"/>
      <c r="M826" s="8"/>
      <c r="N826" s="8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24"/>
      <c r="J827" s="24"/>
      <c r="K827" s="25"/>
      <c r="L827" s="24"/>
      <c r="M827" s="8"/>
      <c r="N827" s="8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24"/>
      <c r="J828" s="24"/>
      <c r="K828" s="25"/>
      <c r="L828" s="24"/>
      <c r="M828" s="8"/>
      <c r="N828" s="8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24"/>
      <c r="J829" s="24"/>
      <c r="K829" s="25"/>
      <c r="L829" s="24"/>
      <c r="M829" s="8"/>
      <c r="N829" s="8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24"/>
      <c r="J830" s="24"/>
      <c r="K830" s="25"/>
      <c r="L830" s="24"/>
      <c r="M830" s="8"/>
      <c r="N830" s="8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24"/>
      <c r="J831" s="24"/>
      <c r="K831" s="25"/>
      <c r="L831" s="24"/>
      <c r="M831" s="8"/>
      <c r="N831" s="8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24"/>
      <c r="J832" s="24"/>
      <c r="K832" s="25"/>
      <c r="L832" s="24"/>
      <c r="M832" s="8"/>
      <c r="N832" s="8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24"/>
      <c r="J833" s="24"/>
      <c r="K833" s="25"/>
      <c r="L833" s="24"/>
      <c r="M833" s="8"/>
      <c r="N833" s="8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24"/>
      <c r="J834" s="24"/>
      <c r="K834" s="25"/>
      <c r="L834" s="24"/>
      <c r="M834" s="8"/>
      <c r="N834" s="8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24"/>
      <c r="J835" s="24"/>
      <c r="K835" s="25"/>
      <c r="L835" s="24"/>
      <c r="M835" s="8"/>
      <c r="N835" s="8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24"/>
      <c r="J836" s="24"/>
      <c r="K836" s="25"/>
      <c r="L836" s="24"/>
      <c r="M836" s="8"/>
      <c r="N836" s="8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24"/>
      <c r="J837" s="24"/>
      <c r="K837" s="25"/>
      <c r="L837" s="24"/>
      <c r="M837" s="8"/>
      <c r="N837" s="8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24"/>
      <c r="J838" s="24"/>
      <c r="K838" s="25"/>
      <c r="L838" s="24"/>
      <c r="M838" s="8"/>
      <c r="N838" s="8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24"/>
      <c r="J839" s="24"/>
      <c r="K839" s="25"/>
      <c r="L839" s="24"/>
      <c r="M839" s="8"/>
      <c r="N839" s="8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24"/>
      <c r="J840" s="24"/>
      <c r="K840" s="25"/>
      <c r="L840" s="24"/>
      <c r="M840" s="8"/>
      <c r="N840" s="8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24"/>
      <c r="J841" s="24"/>
      <c r="K841" s="25"/>
      <c r="L841" s="24"/>
      <c r="M841" s="8"/>
      <c r="N841" s="8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24"/>
      <c r="J842" s="24"/>
      <c r="K842" s="25"/>
      <c r="L842" s="24"/>
      <c r="M842" s="8"/>
      <c r="N842" s="8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24"/>
      <c r="J843" s="24"/>
      <c r="K843" s="25"/>
      <c r="L843" s="24"/>
      <c r="M843" s="8"/>
      <c r="N843" s="8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24"/>
      <c r="J844" s="24"/>
      <c r="K844" s="25"/>
      <c r="L844" s="24"/>
      <c r="M844" s="8"/>
      <c r="N844" s="8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24"/>
      <c r="J845" s="24"/>
      <c r="K845" s="25"/>
      <c r="L845" s="24"/>
      <c r="M845" s="8"/>
      <c r="N845" s="8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24"/>
      <c r="J846" s="24"/>
      <c r="K846" s="25"/>
      <c r="L846" s="24"/>
      <c r="M846" s="8"/>
      <c r="N846" s="8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24"/>
      <c r="J847" s="24"/>
      <c r="K847" s="25"/>
      <c r="L847" s="24"/>
      <c r="M847" s="8"/>
      <c r="N847" s="8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24"/>
      <c r="J848" s="24"/>
      <c r="K848" s="25"/>
      <c r="L848" s="24"/>
      <c r="M848" s="8"/>
      <c r="N848" s="8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24"/>
      <c r="J849" s="24"/>
      <c r="K849" s="25"/>
      <c r="L849" s="24"/>
      <c r="M849" s="8"/>
      <c r="N849" s="8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24"/>
      <c r="J850" s="24"/>
      <c r="K850" s="25"/>
      <c r="L850" s="24"/>
      <c r="M850" s="8"/>
      <c r="N850" s="8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24"/>
      <c r="J851" s="24"/>
      <c r="K851" s="25"/>
      <c r="L851" s="24"/>
      <c r="M851" s="8"/>
      <c r="N851" s="8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24"/>
      <c r="J852" s="24"/>
      <c r="K852" s="25"/>
      <c r="L852" s="24"/>
      <c r="M852" s="8"/>
      <c r="N852" s="8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24"/>
      <c r="J853" s="24"/>
      <c r="K853" s="25"/>
      <c r="L853" s="24"/>
      <c r="M853" s="8"/>
      <c r="N853" s="8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24"/>
      <c r="J854" s="24"/>
      <c r="K854" s="25"/>
      <c r="L854" s="24"/>
      <c r="M854" s="8"/>
      <c r="N854" s="8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24"/>
      <c r="J855" s="24"/>
      <c r="K855" s="25"/>
      <c r="L855" s="24"/>
      <c r="M855" s="8"/>
      <c r="N855" s="8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24"/>
      <c r="J856" s="24"/>
      <c r="K856" s="25"/>
      <c r="L856" s="24"/>
      <c r="M856" s="8"/>
      <c r="N856" s="8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24"/>
      <c r="J857" s="24"/>
      <c r="K857" s="25"/>
      <c r="L857" s="24"/>
      <c r="M857" s="8"/>
      <c r="N857" s="8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24"/>
      <c r="J858" s="24"/>
      <c r="K858" s="25"/>
      <c r="L858" s="24"/>
      <c r="M858" s="8"/>
      <c r="N858" s="8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24"/>
      <c r="J859" s="24"/>
      <c r="K859" s="25"/>
      <c r="L859" s="24"/>
      <c r="M859" s="8"/>
      <c r="N859" s="8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24"/>
      <c r="J860" s="24"/>
      <c r="K860" s="25"/>
      <c r="L860" s="24"/>
      <c r="M860" s="8"/>
      <c r="N860" s="8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24"/>
      <c r="J861" s="24"/>
      <c r="K861" s="25"/>
      <c r="L861" s="24"/>
      <c r="M861" s="8"/>
      <c r="N861" s="8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24"/>
      <c r="J862" s="24"/>
      <c r="K862" s="25"/>
      <c r="L862" s="24"/>
      <c r="M862" s="8"/>
      <c r="N862" s="8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24"/>
      <c r="J863" s="24"/>
      <c r="K863" s="25"/>
      <c r="L863" s="24"/>
      <c r="M863" s="8"/>
      <c r="N863" s="8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24"/>
      <c r="J864" s="24"/>
      <c r="K864" s="25"/>
      <c r="L864" s="24"/>
      <c r="M864" s="8"/>
      <c r="N864" s="8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24"/>
      <c r="J865" s="24"/>
      <c r="K865" s="25"/>
      <c r="L865" s="24"/>
      <c r="M865" s="8"/>
      <c r="N865" s="8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24"/>
      <c r="J866" s="24"/>
      <c r="K866" s="25"/>
      <c r="L866" s="24"/>
      <c r="M866" s="8"/>
      <c r="N866" s="8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24"/>
      <c r="J867" s="24"/>
      <c r="K867" s="25"/>
      <c r="L867" s="24"/>
      <c r="M867" s="8"/>
      <c r="N867" s="8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24"/>
      <c r="J868" s="24"/>
      <c r="K868" s="25"/>
      <c r="L868" s="24"/>
      <c r="M868" s="8"/>
      <c r="N868" s="8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24"/>
      <c r="J869" s="24"/>
      <c r="K869" s="25"/>
      <c r="L869" s="24"/>
      <c r="M869" s="8"/>
      <c r="N869" s="8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24"/>
      <c r="J870" s="24"/>
      <c r="K870" s="25"/>
      <c r="L870" s="24"/>
      <c r="M870" s="8"/>
      <c r="N870" s="8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24"/>
      <c r="J871" s="24"/>
      <c r="K871" s="25"/>
      <c r="L871" s="24"/>
      <c r="M871" s="8"/>
      <c r="N871" s="8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24"/>
      <c r="J872" s="24"/>
      <c r="K872" s="25"/>
      <c r="L872" s="24"/>
      <c r="M872" s="8"/>
      <c r="N872" s="8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24"/>
      <c r="J873" s="24"/>
      <c r="K873" s="25"/>
      <c r="L873" s="24"/>
      <c r="M873" s="8"/>
      <c r="N873" s="8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24"/>
      <c r="J874" s="24"/>
      <c r="K874" s="25"/>
      <c r="L874" s="24"/>
      <c r="M874" s="8"/>
      <c r="N874" s="8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24"/>
      <c r="J875" s="24"/>
      <c r="K875" s="25"/>
      <c r="L875" s="24"/>
      <c r="M875" s="8"/>
      <c r="N875" s="8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24"/>
      <c r="J876" s="24"/>
      <c r="K876" s="25"/>
      <c r="L876" s="24"/>
      <c r="M876" s="8"/>
      <c r="N876" s="8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24"/>
      <c r="J877" s="24"/>
      <c r="K877" s="25"/>
      <c r="L877" s="24"/>
      <c r="M877" s="8"/>
      <c r="N877" s="8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24"/>
      <c r="J878" s="24"/>
      <c r="K878" s="25"/>
      <c r="L878" s="24"/>
      <c r="M878" s="8"/>
      <c r="N878" s="8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24"/>
      <c r="J879" s="24"/>
      <c r="K879" s="25"/>
      <c r="L879" s="24"/>
      <c r="M879" s="8"/>
      <c r="N879" s="8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24"/>
      <c r="J880" s="24"/>
      <c r="K880" s="25"/>
      <c r="L880" s="24"/>
      <c r="M880" s="8"/>
      <c r="N880" s="8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24"/>
      <c r="J881" s="24"/>
      <c r="K881" s="25"/>
      <c r="L881" s="24"/>
      <c r="M881" s="8"/>
      <c r="N881" s="8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24"/>
      <c r="J882" s="24"/>
      <c r="K882" s="25"/>
      <c r="L882" s="24"/>
      <c r="M882" s="8"/>
      <c r="N882" s="8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24"/>
      <c r="J883" s="24"/>
      <c r="K883" s="25"/>
      <c r="L883" s="24"/>
      <c r="M883" s="8"/>
      <c r="N883" s="8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24"/>
      <c r="J884" s="24"/>
      <c r="K884" s="25"/>
      <c r="L884" s="24"/>
      <c r="M884" s="8"/>
      <c r="N884" s="8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24"/>
      <c r="J885" s="24"/>
      <c r="K885" s="25"/>
      <c r="L885" s="24"/>
      <c r="M885" s="8"/>
      <c r="N885" s="8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24"/>
      <c r="J886" s="24"/>
      <c r="K886" s="25"/>
      <c r="L886" s="24"/>
      <c r="M886" s="8"/>
      <c r="N886" s="8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24"/>
      <c r="J887" s="24"/>
      <c r="K887" s="25"/>
      <c r="L887" s="24"/>
      <c r="M887" s="8"/>
      <c r="N887" s="8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24"/>
      <c r="J888" s="24"/>
      <c r="K888" s="25"/>
      <c r="L888" s="24"/>
      <c r="M888" s="8"/>
      <c r="N888" s="8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24"/>
      <c r="J889" s="24"/>
      <c r="K889" s="25"/>
      <c r="L889" s="24"/>
      <c r="M889" s="8"/>
      <c r="N889" s="8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24"/>
      <c r="J890" s="24"/>
      <c r="K890" s="25"/>
      <c r="L890" s="24"/>
      <c r="M890" s="8"/>
      <c r="N890" s="8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24"/>
      <c r="J891" s="24"/>
      <c r="K891" s="25"/>
      <c r="L891" s="24"/>
      <c r="M891" s="8"/>
      <c r="N891" s="8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24"/>
      <c r="J892" s="24"/>
      <c r="K892" s="25"/>
      <c r="L892" s="24"/>
      <c r="M892" s="8"/>
      <c r="N892" s="8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24"/>
      <c r="J893" s="24"/>
      <c r="K893" s="25"/>
      <c r="L893" s="24"/>
      <c r="M893" s="8"/>
      <c r="N893" s="8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24"/>
      <c r="J894" s="24"/>
      <c r="K894" s="25"/>
      <c r="L894" s="24"/>
      <c r="M894" s="8"/>
      <c r="N894" s="8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24"/>
      <c r="J895" s="24"/>
      <c r="K895" s="25"/>
      <c r="L895" s="24"/>
      <c r="M895" s="8"/>
      <c r="N895" s="8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24"/>
      <c r="J896" s="24"/>
      <c r="K896" s="25"/>
      <c r="L896" s="24"/>
      <c r="M896" s="8"/>
      <c r="N896" s="8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24"/>
      <c r="J897" s="24"/>
      <c r="K897" s="25"/>
      <c r="L897" s="24"/>
      <c r="M897" s="8"/>
      <c r="N897" s="8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24"/>
      <c r="J898" s="24"/>
      <c r="K898" s="25"/>
      <c r="L898" s="24"/>
      <c r="M898" s="8"/>
      <c r="N898" s="8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24"/>
      <c r="J899" s="24"/>
      <c r="K899" s="25"/>
      <c r="L899" s="24"/>
      <c r="M899" s="8"/>
      <c r="N899" s="8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24"/>
      <c r="J900" s="24"/>
      <c r="K900" s="25"/>
      <c r="L900" s="24"/>
      <c r="M900" s="8"/>
      <c r="N900" s="8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24"/>
      <c r="J901" s="24"/>
      <c r="K901" s="25"/>
      <c r="L901" s="24"/>
      <c r="M901" s="8"/>
      <c r="N901" s="8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24"/>
      <c r="J902" s="24"/>
      <c r="K902" s="25"/>
      <c r="L902" s="24"/>
      <c r="M902" s="8"/>
      <c r="N902" s="8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24"/>
      <c r="J903" s="24"/>
      <c r="K903" s="25"/>
      <c r="L903" s="24"/>
      <c r="M903" s="8"/>
      <c r="N903" s="8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24"/>
      <c r="J904" s="24"/>
      <c r="K904" s="25"/>
      <c r="L904" s="24"/>
      <c r="M904" s="8"/>
      <c r="N904" s="8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24"/>
      <c r="J905" s="24"/>
      <c r="K905" s="25"/>
      <c r="L905" s="24"/>
      <c r="M905" s="8"/>
      <c r="N905" s="8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24"/>
      <c r="J906" s="24"/>
      <c r="K906" s="25"/>
      <c r="L906" s="24"/>
      <c r="M906" s="8"/>
      <c r="N906" s="8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24"/>
      <c r="J907" s="24"/>
      <c r="K907" s="25"/>
      <c r="L907" s="24"/>
      <c r="M907" s="8"/>
      <c r="N907" s="8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24"/>
      <c r="J908" s="24"/>
      <c r="K908" s="25"/>
      <c r="L908" s="24"/>
      <c r="M908" s="8"/>
      <c r="N908" s="8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24"/>
      <c r="J909" s="24"/>
      <c r="K909" s="25"/>
      <c r="L909" s="24"/>
      <c r="M909" s="8"/>
      <c r="N909" s="8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24"/>
      <c r="J910" s="24"/>
      <c r="K910" s="25"/>
      <c r="L910" s="24"/>
      <c r="M910" s="8"/>
      <c r="N910" s="8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24"/>
      <c r="J911" s="24"/>
      <c r="K911" s="25"/>
      <c r="L911" s="24"/>
      <c r="M911" s="8"/>
      <c r="N911" s="8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24"/>
      <c r="J912" s="24"/>
      <c r="K912" s="25"/>
      <c r="L912" s="24"/>
      <c r="M912" s="8"/>
      <c r="N912" s="8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24"/>
      <c r="J913" s="24"/>
      <c r="K913" s="25"/>
      <c r="L913" s="24"/>
      <c r="M913" s="8"/>
      <c r="N913" s="8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24"/>
      <c r="J914" s="24"/>
      <c r="K914" s="25"/>
      <c r="L914" s="24"/>
      <c r="M914" s="8"/>
      <c r="N914" s="8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24"/>
      <c r="J915" s="24"/>
      <c r="K915" s="25"/>
      <c r="L915" s="24"/>
      <c r="M915" s="8"/>
      <c r="N915" s="8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24"/>
      <c r="J916" s="24"/>
      <c r="K916" s="25"/>
      <c r="L916" s="24"/>
      <c r="M916" s="8"/>
      <c r="N916" s="8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24"/>
      <c r="J917" s="24"/>
      <c r="K917" s="25"/>
      <c r="L917" s="24"/>
      <c r="M917" s="8"/>
      <c r="N917" s="8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24"/>
      <c r="J918" s="24"/>
      <c r="K918" s="25"/>
      <c r="L918" s="24"/>
      <c r="M918" s="8"/>
      <c r="N918" s="8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24"/>
      <c r="J919" s="24"/>
      <c r="K919" s="25"/>
      <c r="L919" s="24"/>
      <c r="M919" s="8"/>
      <c r="N919" s="8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24"/>
      <c r="J920" s="24"/>
      <c r="K920" s="25"/>
      <c r="L920" s="24"/>
      <c r="M920" s="8"/>
      <c r="N920" s="8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24"/>
      <c r="J921" s="24"/>
      <c r="K921" s="25"/>
      <c r="L921" s="24"/>
      <c r="M921" s="8"/>
      <c r="N921" s="8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24"/>
      <c r="J922" s="24"/>
      <c r="K922" s="25"/>
      <c r="L922" s="24"/>
      <c r="M922" s="8"/>
      <c r="N922" s="8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24"/>
      <c r="J923" s="24"/>
      <c r="K923" s="25"/>
      <c r="L923" s="24"/>
      <c r="M923" s="8"/>
      <c r="N923" s="8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24"/>
      <c r="J924" s="24"/>
      <c r="K924" s="25"/>
      <c r="L924" s="24"/>
      <c r="M924" s="8"/>
      <c r="N924" s="8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24"/>
      <c r="J925" s="24"/>
      <c r="K925" s="25"/>
      <c r="L925" s="24"/>
      <c r="M925" s="8"/>
      <c r="N925" s="8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24"/>
      <c r="J926" s="24"/>
      <c r="K926" s="25"/>
      <c r="L926" s="24"/>
      <c r="M926" s="8"/>
      <c r="N926" s="8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24"/>
      <c r="J927" s="24"/>
      <c r="K927" s="25"/>
      <c r="L927" s="24"/>
      <c r="M927" s="8"/>
      <c r="N927" s="8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24"/>
      <c r="J928" s="24"/>
      <c r="K928" s="25"/>
      <c r="L928" s="24"/>
      <c r="M928" s="8"/>
      <c r="N928" s="8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24"/>
      <c r="J929" s="24"/>
      <c r="K929" s="25"/>
      <c r="L929" s="24"/>
      <c r="M929" s="8"/>
      <c r="N929" s="8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24"/>
      <c r="J930" s="24"/>
      <c r="K930" s="25"/>
      <c r="L930" s="24"/>
      <c r="M930" s="8"/>
      <c r="N930" s="8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24"/>
      <c r="J931" s="24"/>
      <c r="K931" s="25"/>
      <c r="L931" s="24"/>
      <c r="M931" s="8"/>
      <c r="N931" s="8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24"/>
      <c r="J932" s="24"/>
      <c r="K932" s="25"/>
      <c r="L932" s="24"/>
      <c r="M932" s="8"/>
      <c r="N932" s="8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24"/>
      <c r="J933" s="24"/>
      <c r="K933" s="25"/>
      <c r="L933" s="24"/>
      <c r="M933" s="8"/>
      <c r="N933" s="8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24"/>
      <c r="J934" s="24"/>
      <c r="K934" s="25"/>
      <c r="L934" s="24"/>
      <c r="M934" s="8"/>
      <c r="N934" s="8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24"/>
      <c r="J935" s="24"/>
      <c r="K935" s="25"/>
      <c r="L935" s="24"/>
      <c r="M935" s="8"/>
      <c r="N935" s="8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24"/>
      <c r="J936" s="24"/>
      <c r="K936" s="25"/>
      <c r="L936" s="24"/>
      <c r="M936" s="8"/>
      <c r="N936" s="8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24"/>
      <c r="J937" s="24"/>
      <c r="K937" s="25"/>
      <c r="L937" s="24"/>
      <c r="M937" s="8"/>
      <c r="N937" s="8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24"/>
      <c r="J938" s="24"/>
      <c r="K938" s="25"/>
      <c r="L938" s="24"/>
      <c r="M938" s="8"/>
      <c r="N938" s="8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24"/>
      <c r="J939" s="24"/>
      <c r="K939" s="25"/>
      <c r="L939" s="24"/>
      <c r="M939" s="8"/>
      <c r="N939" s="8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24"/>
      <c r="J940" s="24"/>
      <c r="K940" s="25"/>
      <c r="L940" s="24"/>
      <c r="M940" s="8"/>
      <c r="N940" s="8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24"/>
      <c r="J941" s="24"/>
      <c r="K941" s="25"/>
      <c r="L941" s="24"/>
      <c r="M941" s="8"/>
      <c r="N941" s="8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24"/>
      <c r="J942" s="24"/>
      <c r="K942" s="25"/>
      <c r="L942" s="24"/>
      <c r="M942" s="8"/>
      <c r="N942" s="8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24"/>
      <c r="J943" s="24"/>
      <c r="K943" s="25"/>
      <c r="L943" s="24"/>
      <c r="M943" s="8"/>
      <c r="N943" s="8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24"/>
      <c r="J944" s="24"/>
      <c r="K944" s="25"/>
      <c r="L944" s="24"/>
      <c r="M944" s="8"/>
      <c r="N944" s="8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24"/>
      <c r="J945" s="24"/>
      <c r="K945" s="25"/>
      <c r="L945" s="24"/>
      <c r="M945" s="8"/>
      <c r="N945" s="8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24"/>
      <c r="J946" s="24"/>
      <c r="K946" s="25"/>
      <c r="L946" s="24"/>
      <c r="M946" s="8"/>
      <c r="N946" s="8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24"/>
      <c r="J947" s="24"/>
      <c r="K947" s="25"/>
      <c r="L947" s="24"/>
      <c r="M947" s="8"/>
      <c r="N947" s="8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24"/>
      <c r="J948" s="24"/>
      <c r="K948" s="25"/>
      <c r="L948" s="24"/>
      <c r="M948" s="8"/>
      <c r="N948" s="8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24"/>
      <c r="J949" s="24"/>
      <c r="K949" s="25"/>
      <c r="L949" s="24"/>
      <c r="M949" s="8"/>
      <c r="N949" s="8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24"/>
      <c r="J950" s="24"/>
      <c r="K950" s="25"/>
      <c r="L950" s="24"/>
      <c r="M950" s="8"/>
      <c r="N950" s="8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24"/>
      <c r="J951" s="24"/>
      <c r="K951" s="25"/>
      <c r="L951" s="24"/>
      <c r="M951" s="8"/>
      <c r="N951" s="8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24"/>
      <c r="J952" s="24"/>
      <c r="K952" s="25"/>
      <c r="L952" s="24"/>
      <c r="M952" s="8"/>
      <c r="N952" s="8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24"/>
      <c r="J953" s="24"/>
      <c r="K953" s="25"/>
      <c r="L953" s="24"/>
      <c r="M953" s="8"/>
      <c r="N953" s="8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24"/>
      <c r="J954" s="24"/>
      <c r="K954" s="25"/>
      <c r="L954" s="24"/>
      <c r="M954" s="8"/>
      <c r="N954" s="8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24"/>
      <c r="J955" s="24"/>
      <c r="K955" s="25"/>
      <c r="L955" s="24"/>
      <c r="M955" s="8"/>
      <c r="N955" s="8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24"/>
      <c r="J956" s="24"/>
      <c r="K956" s="25"/>
      <c r="L956" s="24"/>
      <c r="M956" s="8"/>
      <c r="N956" s="8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24"/>
      <c r="J957" s="24"/>
      <c r="K957" s="25"/>
      <c r="L957" s="24"/>
      <c r="M957" s="8"/>
      <c r="N957" s="8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24"/>
      <c r="J958" s="24"/>
      <c r="K958" s="25"/>
      <c r="L958" s="24"/>
      <c r="M958" s="8"/>
      <c r="N958" s="8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24"/>
      <c r="J959" s="24"/>
      <c r="K959" s="25"/>
      <c r="L959" s="24"/>
      <c r="M959" s="8"/>
      <c r="N959" s="8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24"/>
      <c r="J960" s="24"/>
      <c r="K960" s="25"/>
      <c r="L960" s="24"/>
      <c r="M960" s="8"/>
      <c r="N960" s="8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24"/>
      <c r="J961" s="24"/>
      <c r="K961" s="25"/>
      <c r="L961" s="24"/>
      <c r="M961" s="8"/>
      <c r="N961" s="8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24"/>
      <c r="J962" s="24"/>
      <c r="K962" s="25"/>
      <c r="L962" s="24"/>
      <c r="M962" s="8"/>
      <c r="N962" s="8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24"/>
      <c r="J963" s="24"/>
      <c r="K963" s="25"/>
      <c r="L963" s="24"/>
      <c r="M963" s="8"/>
      <c r="N963" s="8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24"/>
      <c r="J964" s="24"/>
      <c r="K964" s="25"/>
      <c r="L964" s="24"/>
      <c r="M964" s="8"/>
      <c r="N964" s="8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24"/>
      <c r="J965" s="24"/>
      <c r="K965" s="25"/>
      <c r="L965" s="24"/>
      <c r="M965" s="8"/>
      <c r="N965" s="8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24"/>
      <c r="J966" s="24"/>
      <c r="K966" s="25"/>
      <c r="L966" s="24"/>
      <c r="M966" s="8"/>
      <c r="N966" s="8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24"/>
      <c r="J967" s="24"/>
      <c r="K967" s="25"/>
      <c r="L967" s="24"/>
      <c r="M967" s="8"/>
      <c r="N967" s="8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24"/>
      <c r="J968" s="24"/>
      <c r="K968" s="25"/>
      <c r="L968" s="24"/>
      <c r="M968" s="8"/>
      <c r="N968" s="8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24"/>
      <c r="J969" s="24"/>
      <c r="K969" s="25"/>
      <c r="L969" s="24"/>
      <c r="M969" s="8"/>
      <c r="N969" s="8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24"/>
      <c r="J970" s="24"/>
      <c r="K970" s="25"/>
      <c r="L970" s="24"/>
      <c r="M970" s="8"/>
      <c r="N970" s="8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24"/>
      <c r="J971" s="24"/>
      <c r="K971" s="25"/>
      <c r="L971" s="24"/>
      <c r="M971" s="8"/>
      <c r="N971" s="8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24"/>
      <c r="J972" s="24"/>
      <c r="K972" s="25"/>
      <c r="L972" s="24"/>
      <c r="M972" s="8"/>
      <c r="N972" s="8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24"/>
      <c r="J973" s="24"/>
      <c r="K973" s="25"/>
      <c r="L973" s="24"/>
      <c r="M973" s="8"/>
      <c r="N973" s="8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24"/>
      <c r="J974" s="24"/>
      <c r="K974" s="25"/>
      <c r="L974" s="24"/>
      <c r="M974" s="8"/>
      <c r="N974" s="8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24"/>
      <c r="J975" s="24"/>
      <c r="K975" s="25"/>
      <c r="L975" s="24"/>
      <c r="M975" s="8"/>
      <c r="N975" s="8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24"/>
      <c r="J976" s="24"/>
      <c r="K976" s="25"/>
      <c r="L976" s="24"/>
      <c r="M976" s="8"/>
      <c r="N976" s="8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24"/>
      <c r="J977" s="24"/>
      <c r="K977" s="25"/>
      <c r="L977" s="24"/>
      <c r="M977" s="8"/>
      <c r="N977" s="8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24"/>
      <c r="J978" s="24"/>
      <c r="K978" s="25"/>
      <c r="L978" s="24"/>
      <c r="M978" s="8"/>
      <c r="N978" s="8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24"/>
      <c r="J979" s="24"/>
      <c r="K979" s="25"/>
      <c r="L979" s="24"/>
      <c r="M979" s="8"/>
      <c r="N979" s="8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24"/>
      <c r="J980" s="24"/>
      <c r="K980" s="25"/>
      <c r="L980" s="24"/>
      <c r="M980" s="8"/>
      <c r="N980" s="8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24"/>
      <c r="J981" s="24"/>
      <c r="K981" s="25"/>
      <c r="L981" s="24"/>
      <c r="M981" s="8"/>
      <c r="N981" s="8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24"/>
      <c r="J982" s="24"/>
      <c r="K982" s="25"/>
      <c r="L982" s="24"/>
      <c r="M982" s="8"/>
      <c r="N982" s="8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24"/>
      <c r="J983" s="24"/>
      <c r="K983" s="25"/>
      <c r="L983" s="24"/>
      <c r="M983" s="8"/>
      <c r="N983" s="8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24"/>
      <c r="J984" s="24"/>
      <c r="K984" s="25"/>
      <c r="L984" s="24"/>
      <c r="M984" s="8"/>
      <c r="N984" s="8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24"/>
      <c r="J985" s="24"/>
      <c r="K985" s="25"/>
      <c r="L985" s="24"/>
      <c r="M985" s="8"/>
      <c r="N985" s="8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24"/>
      <c r="J986" s="24"/>
      <c r="K986" s="25"/>
      <c r="L986" s="24"/>
      <c r="M986" s="8"/>
      <c r="N986" s="8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24"/>
      <c r="J987" s="24"/>
      <c r="K987" s="25"/>
      <c r="L987" s="24"/>
      <c r="M987" s="8"/>
      <c r="N987" s="8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24"/>
      <c r="J988" s="24"/>
      <c r="K988" s="25"/>
      <c r="L988" s="24"/>
      <c r="M988" s="8"/>
      <c r="N988" s="8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24"/>
      <c r="J989" s="24"/>
      <c r="K989" s="25"/>
      <c r="L989" s="24"/>
      <c r="M989" s="8"/>
      <c r="N989" s="8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24"/>
      <c r="J990" s="24"/>
      <c r="K990" s="25"/>
      <c r="L990" s="24"/>
      <c r="M990" s="8"/>
      <c r="N990" s="8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24"/>
      <c r="J991" s="24"/>
      <c r="K991" s="25"/>
      <c r="L991" s="24"/>
      <c r="M991" s="8"/>
      <c r="N991" s="8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24"/>
      <c r="J992" s="24"/>
      <c r="K992" s="25"/>
      <c r="L992" s="24"/>
      <c r="M992" s="8"/>
      <c r="N992" s="8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24"/>
      <c r="J993" s="24"/>
      <c r="K993" s="25"/>
      <c r="L993" s="24"/>
      <c r="M993" s="8"/>
      <c r="N993" s="8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24"/>
      <c r="J994" s="24"/>
      <c r="K994" s="25"/>
      <c r="L994" s="24"/>
      <c r="M994" s="8"/>
      <c r="N994" s="8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24"/>
      <c r="J995" s="24"/>
      <c r="K995" s="25"/>
      <c r="L995" s="24"/>
      <c r="M995" s="8"/>
      <c r="N995" s="8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24"/>
      <c r="J996" s="24"/>
      <c r="K996" s="25"/>
      <c r="L996" s="24"/>
      <c r="M996" s="8"/>
      <c r="N996" s="8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24"/>
      <c r="J997" s="24"/>
      <c r="K997" s="25"/>
      <c r="L997" s="24"/>
      <c r="M997" s="8"/>
      <c r="N997" s="8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24"/>
      <c r="J998" s="24"/>
      <c r="K998" s="25"/>
      <c r="L998" s="24"/>
      <c r="M998" s="8"/>
      <c r="N998" s="8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L7">
    <cfRule type="colorScale" priority="1">
      <colorScale>
        <cfvo type="min"/>
        <cfvo type="max"/>
        <color rgb="FF57BB8A"/>
        <color rgb="FFFFFFFF"/>
      </colorScale>
    </cfRule>
  </conditionalFormatting>
  <conditionalFormatting sqref="K6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15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custom" allowBlank="1" showDropDown="1" sqref="J6:J15">
      <formula1>OR(NOT(ISERROR(DATEVALUE(J6))), AND(ISNUMBER(J6), LEFT(CELL("format", J6))="D"))</formula1>
    </dataValidation>
    <dataValidation type="list" allowBlank="1" showErrorMessage="1" sqref="K16:L17">
      <formula1>#REF!</formula1>
    </dataValidation>
    <dataValidation type="list" allowBlank="1" showErrorMessage="1" sqref="L6:L15">
      <formula1>$L$27:$L$30</formula1>
    </dataValidation>
    <dataValidation type="list" allowBlank="1" showErrorMessage="1" sqref="K6:K15">
      <formula1>$K$27:$K$29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4" width="10.63"/>
    <col customWidth="1" min="15" max="15" width="44.38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8"/>
      <c r="D4" s="28"/>
      <c r="E4" s="28"/>
      <c r="F4" s="29"/>
    </row>
    <row r="5" hidden="1">
      <c r="C5" s="28"/>
      <c r="D5" s="28"/>
      <c r="E5" s="28"/>
      <c r="F5" s="29"/>
    </row>
    <row r="6" ht="39.75" customHeight="1">
      <c r="B6" s="30" t="s">
        <v>98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31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9.75" customHeight="1">
      <c r="B8" s="33"/>
      <c r="C8" s="34"/>
      <c r="D8" s="34"/>
      <c r="E8" s="34"/>
      <c r="F8" s="35"/>
      <c r="G8" s="36"/>
      <c r="H8" s="36"/>
      <c r="I8" s="36"/>
      <c r="J8" s="36"/>
      <c r="K8" s="36"/>
      <c r="L8" s="36"/>
      <c r="M8" s="36"/>
      <c r="N8" s="36"/>
      <c r="O8" s="36"/>
      <c r="P8" s="37"/>
      <c r="Q8" s="31"/>
    </row>
    <row r="9" ht="30.0" customHeight="1">
      <c r="B9" s="38"/>
      <c r="C9" s="39" t="s">
        <v>1</v>
      </c>
      <c r="D9" s="40"/>
      <c r="E9" s="41" t="s">
        <v>99</v>
      </c>
      <c r="F9" s="6"/>
      <c r="G9" s="40"/>
      <c r="H9" s="41" t="s">
        <v>11</v>
      </c>
      <c r="I9" s="6"/>
      <c r="J9" s="42"/>
      <c r="K9" s="42"/>
      <c r="L9" s="42"/>
      <c r="M9" s="42"/>
      <c r="N9" s="42"/>
      <c r="O9" s="42"/>
      <c r="P9" s="43"/>
      <c r="Q9" s="31"/>
    </row>
    <row r="10" ht="30.0" customHeight="1">
      <c r="B10" s="38"/>
      <c r="C10" s="44" t="s">
        <v>15</v>
      </c>
      <c r="D10" s="45"/>
      <c r="E10" s="46" t="str">
        <f>VLOOKUP(C10,'Formato descripción HU'!B6:O17,5,0)</f>
        <v>Administrador</v>
      </c>
      <c r="F10" s="6"/>
      <c r="G10" s="47"/>
      <c r="H10" s="46" t="str">
        <f>VLOOKUP(C10,'Formato descripción HU'!B6:O17,11,0)</f>
        <v>En proceso</v>
      </c>
      <c r="I10" s="6"/>
      <c r="J10" s="47"/>
      <c r="K10" s="42"/>
      <c r="L10" s="42"/>
      <c r="M10" s="42"/>
      <c r="N10" s="42"/>
      <c r="O10" s="42"/>
      <c r="P10" s="43"/>
      <c r="Q10" s="31"/>
    </row>
    <row r="11" ht="9.75" customHeight="1">
      <c r="A11" s="31"/>
      <c r="B11" s="38"/>
      <c r="C11" s="48"/>
      <c r="D11" s="45"/>
      <c r="E11" s="49"/>
      <c r="F11" s="49"/>
      <c r="G11" s="47"/>
      <c r="H11" s="49"/>
      <c r="I11" s="49"/>
      <c r="J11" s="47"/>
      <c r="K11" s="49"/>
      <c r="L11" s="49"/>
      <c r="M11" s="42"/>
      <c r="N11" s="49"/>
      <c r="O11" s="49"/>
      <c r="P11" s="43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0" customHeight="1">
      <c r="A12" s="31"/>
      <c r="B12" s="38"/>
      <c r="C12" s="39" t="s">
        <v>100</v>
      </c>
      <c r="D12" s="45"/>
      <c r="E12" s="41" t="s">
        <v>10</v>
      </c>
      <c r="F12" s="6"/>
      <c r="G12" s="47"/>
      <c r="H12" s="41" t="s">
        <v>101</v>
      </c>
      <c r="I12" s="6"/>
      <c r="J12" s="47"/>
      <c r="K12" s="49"/>
      <c r="L12" s="49"/>
      <c r="M12" s="42"/>
      <c r="N12" s="49"/>
      <c r="O12" s="49"/>
      <c r="P12" s="43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0.0" customHeight="1">
      <c r="A13" s="31"/>
      <c r="B13" s="38"/>
      <c r="C13" s="50">
        <f>VLOOKUP('Historia de Usuario'!C10,'Formato descripción HU'!B6:O17,8,0)</f>
        <v>8</v>
      </c>
      <c r="D13" s="45"/>
      <c r="E13" s="46" t="str">
        <f>VLOOKUP(C10,'Formato descripción HU'!B6:O17,10,0)</f>
        <v>Alta</v>
      </c>
      <c r="F13" s="6"/>
      <c r="G13" s="47"/>
      <c r="H13" s="46" t="str">
        <f>VLOOKUP(C10,'Formato descripción HU'!B6:O17,7,0)</f>
        <v>Josué Solano</v>
      </c>
      <c r="I13" s="6"/>
      <c r="J13" s="47"/>
      <c r="K13" s="49"/>
      <c r="L13" s="49"/>
      <c r="M13" s="42"/>
      <c r="N13" s="49"/>
      <c r="O13" s="49"/>
      <c r="P13" s="43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9.75" customHeight="1">
      <c r="A14" s="31"/>
      <c r="B14" s="38"/>
      <c r="C14" s="42"/>
      <c r="D14" s="45"/>
      <c r="E14" s="42"/>
      <c r="F14" s="42"/>
      <c r="G14" s="47"/>
      <c r="H14" s="47"/>
      <c r="I14" s="42"/>
      <c r="J14" s="42"/>
      <c r="K14" s="42"/>
      <c r="L14" s="42"/>
      <c r="M14" s="42"/>
      <c r="N14" s="42"/>
      <c r="O14" s="42"/>
      <c r="P14" s="43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9.5" customHeight="1">
      <c r="A15" s="31"/>
      <c r="B15" s="38"/>
      <c r="C15" s="51" t="s">
        <v>102</v>
      </c>
      <c r="D15" s="52" t="str">
        <f>VLOOKUP(C10,'Formato descripción HU'!B6:O17,3,0)</f>
        <v>Administrar la planificación de clases del gimnasio</v>
      </c>
      <c r="E15" s="53"/>
      <c r="F15" s="54"/>
      <c r="G15" s="51" t="s">
        <v>103</v>
      </c>
      <c r="H15" s="52" t="str">
        <f>VLOOKUP(C10,'Formato descripción HU'!B6:O17,4,0)</f>
        <v>Organizar horarios, cupos y entrenadores</v>
      </c>
      <c r="I15" s="55"/>
      <c r="J15" s="53"/>
      <c r="K15" s="54"/>
      <c r="L15" s="51" t="s">
        <v>104</v>
      </c>
      <c r="M15" s="56" t="str">
        <f>VLOOKUP(C10,'Formato descripción HU'!B6:O17,6,0)</f>
        <v>El sistema debe permitir al administrador planificar y gestionar las clases del gimnasio mediante la creación, modificación y eliminación de horarios. Además, debe posibilitar la asignación de entrenadores, el control de cupos disponibles y la prevención de conflictos de horarios para garantizar una correcta organización de las actividades deportivas.</v>
      </c>
      <c r="N15" s="55"/>
      <c r="O15" s="53"/>
      <c r="P15" s="43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9.5" customHeight="1">
      <c r="A16" s="31"/>
      <c r="B16" s="38"/>
      <c r="C16" s="57"/>
      <c r="D16" s="58"/>
      <c r="E16" s="59"/>
      <c r="F16" s="54"/>
      <c r="G16" s="57"/>
      <c r="H16" s="58"/>
      <c r="J16" s="59"/>
      <c r="K16" s="54"/>
      <c r="L16" s="57"/>
      <c r="M16" s="58"/>
      <c r="O16" s="59"/>
      <c r="P16" s="43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9.5" customHeight="1">
      <c r="A17" s="31"/>
      <c r="B17" s="38"/>
      <c r="C17" s="60"/>
      <c r="D17" s="61"/>
      <c r="E17" s="62"/>
      <c r="F17" s="54"/>
      <c r="G17" s="60"/>
      <c r="H17" s="61"/>
      <c r="I17" s="63"/>
      <c r="J17" s="62"/>
      <c r="K17" s="54"/>
      <c r="L17" s="60"/>
      <c r="M17" s="61"/>
      <c r="N17" s="63"/>
      <c r="O17" s="62"/>
      <c r="P17" s="43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9.75" customHeight="1">
      <c r="A18" s="31"/>
      <c r="B18" s="38"/>
      <c r="C18" s="42"/>
      <c r="D18" s="42"/>
      <c r="E18" s="42"/>
      <c r="F18" s="42"/>
      <c r="G18" s="47"/>
      <c r="H18" s="47"/>
      <c r="I18" s="47"/>
      <c r="J18" s="42"/>
      <c r="K18" s="42"/>
      <c r="L18" s="42"/>
      <c r="M18" s="42"/>
      <c r="N18" s="42"/>
      <c r="O18" s="42"/>
      <c r="P18" s="43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9.5" customHeight="1">
      <c r="B19" s="38"/>
      <c r="C19" s="64" t="s">
        <v>105</v>
      </c>
      <c r="D19" s="53"/>
      <c r="E19" s="65" t="str">
        <f>VLOOKUP(C10,'Formato descripción HU'!B6:O17,14,0)</f>
        <v>Gestión de clases y horarios</v>
      </c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43"/>
      <c r="Q19" s="31"/>
    </row>
    <row r="20" ht="19.5" customHeight="1">
      <c r="B20" s="38"/>
      <c r="C20" s="61"/>
      <c r="D20" s="62"/>
      <c r="E20" s="68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43"/>
      <c r="Q20" s="31"/>
    </row>
    <row r="21" ht="9.75" customHeight="1">
      <c r="B21" s="38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3"/>
      <c r="Q21" s="31"/>
    </row>
    <row r="22" ht="19.5" customHeight="1">
      <c r="A22" s="31"/>
      <c r="B22" s="38"/>
      <c r="C22" s="71" t="s">
        <v>106</v>
      </c>
      <c r="D22" s="53"/>
      <c r="E22" s="72" t="str">
        <f>VLOOKUP(C10,'Formato descripción HU'!B6:O17,12,0)</f>
        <v>Verificar que el administrador pueda crear nuevas clases ingresando horario, duración, cupo y entrenador asignado. </v>
      </c>
      <c r="F22" s="55"/>
      <c r="G22" s="55"/>
      <c r="H22" s="53"/>
      <c r="I22" s="42"/>
      <c r="J22" s="71" t="s">
        <v>13</v>
      </c>
      <c r="K22" s="53"/>
      <c r="L22" s="52" t="str">
        <f>VLOOKUP(C10,'Formato descripción HU'!B6:O17,13,0)</f>
        <v/>
      </c>
      <c r="M22" s="55"/>
      <c r="N22" s="55"/>
      <c r="O22" s="53"/>
      <c r="P22" s="43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9.5" customHeight="1">
      <c r="A23" s="31"/>
      <c r="B23" s="38"/>
      <c r="C23" s="58"/>
      <c r="D23" s="59"/>
      <c r="E23" s="58"/>
      <c r="H23" s="59"/>
      <c r="I23" s="42"/>
      <c r="J23" s="58"/>
      <c r="K23" s="59"/>
      <c r="L23" s="58"/>
      <c r="O23" s="59"/>
      <c r="P23" s="43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9.5" customHeight="1">
      <c r="A24" s="31"/>
      <c r="B24" s="38"/>
      <c r="C24" s="61"/>
      <c r="D24" s="62"/>
      <c r="E24" s="61"/>
      <c r="F24" s="63"/>
      <c r="G24" s="63"/>
      <c r="H24" s="62"/>
      <c r="I24" s="42"/>
      <c r="J24" s="61"/>
      <c r="K24" s="62"/>
      <c r="L24" s="61"/>
      <c r="M24" s="63"/>
      <c r="N24" s="63"/>
      <c r="O24" s="62"/>
      <c r="P24" s="43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9.75" customHeight="1">
      <c r="A25" s="31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5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9.5" customHeight="1"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R27" s="31"/>
      <c r="S27" s="31"/>
      <c r="T27" s="31"/>
      <c r="U27" s="31"/>
      <c r="V27" s="31"/>
      <c r="W27" s="31"/>
      <c r="X27" s="31"/>
      <c r="Y27" s="31"/>
      <c r="Z27" s="31"/>
    </row>
    <row r="28" ht="19.5" customHeight="1">
      <c r="R28" s="31"/>
      <c r="S28" s="31"/>
      <c r="T28" s="31"/>
      <c r="U28" s="31"/>
      <c r="V28" s="31"/>
      <c r="W28" s="31"/>
      <c r="X28" s="31"/>
      <c r="Y28" s="31"/>
      <c r="Z28" s="31"/>
    </row>
    <row r="29" ht="19.5" customHeight="1">
      <c r="R29" s="31"/>
      <c r="S29" s="31"/>
      <c r="T29" s="31"/>
      <c r="U29" s="31"/>
      <c r="V29" s="31"/>
      <c r="W29" s="31"/>
      <c r="X29" s="31"/>
      <c r="Y29" s="31"/>
      <c r="Z29" s="31"/>
    </row>
    <row r="30" ht="19.5" customHeight="1">
      <c r="R30" s="31"/>
      <c r="S30" s="31"/>
      <c r="T30" s="31"/>
      <c r="U30" s="31"/>
      <c r="V30" s="31"/>
      <c r="W30" s="31"/>
      <c r="X30" s="31"/>
      <c r="Y30" s="31"/>
      <c r="Z30" s="31"/>
    </row>
    <row r="31" ht="19.5" customHeight="1">
      <c r="C31" s="28"/>
      <c r="D31" s="28"/>
      <c r="E31" s="28"/>
      <c r="F31" s="29"/>
      <c r="Q31" s="76"/>
      <c r="R31" s="31"/>
      <c r="S31" s="31"/>
      <c r="T31" s="31"/>
      <c r="U31" s="31"/>
      <c r="V31" s="31"/>
      <c r="W31" s="31"/>
      <c r="X31" s="31"/>
      <c r="Y31" s="31"/>
      <c r="Z31" s="31"/>
    </row>
    <row r="32" ht="19.5" customHeight="1">
      <c r="C32" s="28"/>
      <c r="D32" s="28"/>
      <c r="E32" s="28"/>
      <c r="F32" s="29"/>
      <c r="Q32" s="77"/>
    </row>
    <row r="33" ht="19.5" customHeight="1">
      <c r="B33" s="30" t="s">
        <v>107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  <c r="Q33" s="77"/>
    </row>
    <row r="34" ht="19.5" customHeight="1">
      <c r="A34" s="31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1"/>
      <c r="Q34" s="77"/>
    </row>
    <row r="35" ht="19.5" customHeight="1">
      <c r="B35" s="33"/>
      <c r="C35" s="34"/>
      <c r="D35" s="34"/>
      <c r="E35" s="34"/>
      <c r="F35" s="35"/>
      <c r="G35" s="36"/>
      <c r="H35" s="36"/>
      <c r="I35" s="36"/>
      <c r="J35" s="36"/>
      <c r="K35" s="36"/>
      <c r="L35" s="36"/>
      <c r="M35" s="36"/>
      <c r="N35" s="36"/>
      <c r="O35" s="36"/>
      <c r="P35" s="37"/>
      <c r="Q35" s="77"/>
    </row>
    <row r="36" ht="19.5" customHeight="1">
      <c r="B36" s="38"/>
      <c r="C36" s="39" t="s">
        <v>1</v>
      </c>
      <c r="D36" s="40"/>
      <c r="E36" s="41" t="s">
        <v>99</v>
      </c>
      <c r="F36" s="6"/>
      <c r="G36" s="40"/>
      <c r="H36" s="41" t="s">
        <v>11</v>
      </c>
      <c r="I36" s="6"/>
      <c r="J36" s="42"/>
      <c r="K36" s="42"/>
      <c r="L36" s="42"/>
      <c r="M36" s="42"/>
      <c r="N36" s="42"/>
      <c r="O36" s="42"/>
      <c r="P36" s="43"/>
      <c r="Q36" s="77"/>
    </row>
    <row r="37" ht="19.5" customHeight="1">
      <c r="B37" s="38"/>
      <c r="C37" s="44" t="s">
        <v>25</v>
      </c>
      <c r="D37" s="45"/>
      <c r="E37" s="46" t="str">
        <f>VLOOKUP(C37,'Formato descripción HU'!B6:O44,5,0)</f>
        <v>Administrador</v>
      </c>
      <c r="F37" s="6"/>
      <c r="G37" s="47"/>
      <c r="H37" s="46" t="str">
        <f>VLOOKUP(C37,'Formato descripción HU'!B7:O44,11,0)</f>
        <v>En proceso</v>
      </c>
      <c r="I37" s="6"/>
      <c r="J37" s="47"/>
      <c r="K37" s="42"/>
      <c r="L37" s="42"/>
      <c r="M37" s="42"/>
      <c r="N37" s="42"/>
      <c r="O37" s="42"/>
      <c r="P37" s="43"/>
      <c r="Q37" s="77"/>
    </row>
    <row r="38" ht="19.5" customHeight="1">
      <c r="A38" s="31"/>
      <c r="B38" s="38"/>
      <c r="C38" s="48"/>
      <c r="D38" s="45"/>
      <c r="E38" s="49"/>
      <c r="F38" s="49"/>
      <c r="G38" s="47"/>
      <c r="H38" s="49"/>
      <c r="I38" s="49"/>
      <c r="J38" s="47"/>
      <c r="K38" s="49"/>
      <c r="L38" s="49"/>
      <c r="M38" s="42"/>
      <c r="N38" s="49"/>
      <c r="O38" s="49"/>
      <c r="P38" s="43"/>
      <c r="Q38" s="77"/>
    </row>
    <row r="39" ht="19.5" customHeight="1">
      <c r="A39" s="31"/>
      <c r="B39" s="38"/>
      <c r="C39" s="39" t="s">
        <v>100</v>
      </c>
      <c r="D39" s="45"/>
      <c r="E39" s="41" t="s">
        <v>10</v>
      </c>
      <c r="F39" s="6"/>
      <c r="G39" s="47"/>
      <c r="H39" s="41" t="s">
        <v>101</v>
      </c>
      <c r="I39" s="6"/>
      <c r="J39" s="47"/>
      <c r="K39" s="49"/>
      <c r="L39" s="49"/>
      <c r="M39" s="42"/>
      <c r="N39" s="49"/>
      <c r="O39" s="49"/>
      <c r="P39" s="43"/>
      <c r="Q39" s="77"/>
    </row>
    <row r="40" ht="19.5" customHeight="1">
      <c r="A40" s="31"/>
      <c r="B40" s="38"/>
      <c r="C40" s="50">
        <f>VLOOKUP('Historia de Usuario'!C37,'Formato descripción HU'!B7:O44,8,0)</f>
        <v>8</v>
      </c>
      <c r="D40" s="45"/>
      <c r="E40" s="46" t="str">
        <f>VLOOKUP(C37,'Formato descripción HU'!B7:O44,10,0)</f>
        <v>Alta</v>
      </c>
      <c r="F40" s="6"/>
      <c r="G40" s="47"/>
      <c r="H40" s="46" t="str">
        <f>VLOOKUP(C37,'Formato descripción HU'!B7:O44,7,0)</f>
        <v>Alexander Toapanta</v>
      </c>
      <c r="I40" s="6"/>
      <c r="J40" s="47"/>
      <c r="K40" s="49"/>
      <c r="L40" s="49"/>
      <c r="M40" s="42"/>
      <c r="N40" s="49"/>
      <c r="O40" s="49"/>
      <c r="P40" s="43"/>
      <c r="Q40" s="77"/>
    </row>
    <row r="41" ht="19.5" customHeight="1">
      <c r="A41" s="31"/>
      <c r="B41" s="38"/>
      <c r="C41" s="42"/>
      <c r="D41" s="45"/>
      <c r="E41" s="42"/>
      <c r="F41" s="42"/>
      <c r="G41" s="47"/>
      <c r="H41" s="47"/>
      <c r="I41" s="42"/>
      <c r="J41" s="42"/>
      <c r="K41" s="42"/>
      <c r="L41" s="42"/>
      <c r="M41" s="42"/>
      <c r="N41" s="42"/>
      <c r="O41" s="42"/>
      <c r="P41" s="43"/>
      <c r="Q41" s="77"/>
    </row>
    <row r="42" ht="19.5" customHeight="1">
      <c r="A42" s="31"/>
      <c r="B42" s="38"/>
      <c r="C42" s="51" t="s">
        <v>102</v>
      </c>
      <c r="D42" s="52" t="str">
        <f>VLOOKUP(C37,'Formato descripción HU'!B7:O44,3,0)</f>
        <v>Controlar membresías y estados de pago</v>
      </c>
      <c r="E42" s="53"/>
      <c r="F42" s="54"/>
      <c r="G42" s="51" t="s">
        <v>103</v>
      </c>
      <c r="H42" s="52" t="str">
        <f>VLOOKUP(C37,'Formato descripción HU'!B7:O44,4,0)</f>
        <v>Gestionar ingresos y acceso de atletas</v>
      </c>
      <c r="I42" s="55"/>
      <c r="J42" s="53"/>
      <c r="K42" s="54"/>
      <c r="L42" s="51" t="s">
        <v>104</v>
      </c>
      <c r="M42" s="56" t="str">
        <f>VLOOKUP(C37,'Formato descripción HU'!B7:O44,6,0)</f>
        <v> Administrar los diferentes tipos de membresías ofrecidas por el gimnasio, controlar los estados de pago de los atletas, registrar transacciones, gestionar renovaciones y monitorear vencimientos para garantizar el acceso adecuado a los servicios contratados.</v>
      </c>
      <c r="N42" s="55"/>
      <c r="O42" s="53"/>
      <c r="P42" s="43"/>
      <c r="Q42" s="77"/>
    </row>
    <row r="43" ht="19.5" customHeight="1">
      <c r="A43" s="31"/>
      <c r="B43" s="38"/>
      <c r="C43" s="57"/>
      <c r="D43" s="58"/>
      <c r="E43" s="59"/>
      <c r="F43" s="54"/>
      <c r="G43" s="57"/>
      <c r="H43" s="58"/>
      <c r="J43" s="59"/>
      <c r="K43" s="54"/>
      <c r="L43" s="57"/>
      <c r="M43" s="58"/>
      <c r="O43" s="59"/>
      <c r="P43" s="43"/>
      <c r="Q43" s="77"/>
    </row>
    <row r="44" ht="19.5" customHeight="1">
      <c r="A44" s="31"/>
      <c r="B44" s="38"/>
      <c r="C44" s="60"/>
      <c r="D44" s="61"/>
      <c r="E44" s="62"/>
      <c r="F44" s="54"/>
      <c r="G44" s="60"/>
      <c r="H44" s="61"/>
      <c r="I44" s="63"/>
      <c r="J44" s="62"/>
      <c r="K44" s="54"/>
      <c r="L44" s="60"/>
      <c r="M44" s="61"/>
      <c r="N44" s="63"/>
      <c r="O44" s="62"/>
      <c r="P44" s="43"/>
      <c r="Q44" s="77"/>
    </row>
    <row r="45" ht="19.5" customHeight="1">
      <c r="A45" s="31"/>
      <c r="B45" s="38"/>
      <c r="C45" s="42"/>
      <c r="D45" s="42"/>
      <c r="E45" s="42"/>
      <c r="F45" s="42"/>
      <c r="G45" s="47"/>
      <c r="H45" s="47"/>
      <c r="I45" s="47"/>
      <c r="J45" s="42"/>
      <c r="K45" s="42"/>
      <c r="L45" s="42"/>
      <c r="M45" s="42"/>
      <c r="N45" s="42"/>
      <c r="O45" s="42"/>
      <c r="P45" s="43"/>
      <c r="Q45" s="77"/>
    </row>
    <row r="46" ht="19.5" customHeight="1">
      <c r="B46" s="38"/>
      <c r="C46" s="64" t="s">
        <v>105</v>
      </c>
      <c r="D46" s="53"/>
      <c r="E46" s="65" t="str">
        <f>VLOOKUP(C37,'Formato descripción HU'!B7:O44,14,0)</f>
        <v>Gestión de membresías y pagos</v>
      </c>
      <c r="F46" s="66"/>
      <c r="G46" s="66"/>
      <c r="H46" s="66"/>
      <c r="I46" s="66"/>
      <c r="J46" s="66"/>
      <c r="K46" s="66"/>
      <c r="L46" s="66"/>
      <c r="M46" s="66"/>
      <c r="N46" s="66"/>
      <c r="O46" s="67"/>
      <c r="P46" s="43"/>
      <c r="Q46" s="77"/>
    </row>
    <row r="47" ht="19.5" customHeight="1">
      <c r="B47" s="38"/>
      <c r="C47" s="61"/>
      <c r="D47" s="62"/>
      <c r="E47" s="68"/>
      <c r="F47" s="69"/>
      <c r="G47" s="69"/>
      <c r="H47" s="69"/>
      <c r="I47" s="69"/>
      <c r="J47" s="69"/>
      <c r="K47" s="69"/>
      <c r="L47" s="69"/>
      <c r="M47" s="69"/>
      <c r="N47" s="69"/>
      <c r="O47" s="70"/>
      <c r="P47" s="43"/>
      <c r="Q47" s="77"/>
    </row>
    <row r="48" ht="19.5" customHeight="1">
      <c r="B48" s="38"/>
      <c r="C48" s="42"/>
      <c r="D48" s="42"/>
      <c r="E48" s="78"/>
      <c r="F48" s="78"/>
      <c r="G48" s="78"/>
      <c r="H48" s="78"/>
      <c r="I48" s="42"/>
      <c r="J48" s="42"/>
      <c r="K48" s="42"/>
      <c r="L48" s="42"/>
      <c r="M48" s="42"/>
      <c r="N48" s="42"/>
      <c r="O48" s="42"/>
      <c r="P48" s="43"/>
      <c r="Q48" s="77"/>
    </row>
    <row r="49" ht="19.5" customHeight="1">
      <c r="A49" s="31"/>
      <c r="B49" s="38"/>
      <c r="C49" s="71" t="s">
        <v>106</v>
      </c>
      <c r="D49" s="53"/>
      <c r="E49" s="72" t="str">
        <f>VLOOKUP(C37,'Formato descripción HU'!B7:O44,12,0)</f>
        <v>Verificar la creación y configuración de membresías, el registro correcto de pagos, la actualización automática del estado de membresía después de una transacción, la notificación de vencimientos y la correcta renovación de planes contratados.</v>
      </c>
      <c r="F49" s="55"/>
      <c r="G49" s="55"/>
      <c r="H49" s="53"/>
      <c r="I49" s="79"/>
      <c r="J49" s="71" t="s">
        <v>13</v>
      </c>
      <c r="K49" s="53"/>
      <c r="L49" s="52" t="str">
        <f>VLOOKUP(C37,'Formato descripción HU'!B7:O44,13,0)</f>
        <v/>
      </c>
      <c r="M49" s="55"/>
      <c r="N49" s="55"/>
      <c r="O49" s="53"/>
      <c r="P49" s="43"/>
      <c r="Q49" s="77"/>
    </row>
    <row r="50" ht="19.5" customHeight="1">
      <c r="A50" s="31"/>
      <c r="B50" s="38"/>
      <c r="C50" s="58"/>
      <c r="D50" s="59"/>
      <c r="E50" s="58"/>
      <c r="H50" s="59"/>
      <c r="I50" s="79"/>
      <c r="J50" s="58"/>
      <c r="K50" s="59"/>
      <c r="L50" s="58"/>
      <c r="O50" s="59"/>
      <c r="P50" s="43"/>
      <c r="Q50" s="80"/>
    </row>
    <row r="51" ht="33.0" customHeight="1">
      <c r="A51" s="31"/>
      <c r="B51" s="38"/>
      <c r="C51" s="61"/>
      <c r="D51" s="62"/>
      <c r="E51" s="61"/>
      <c r="F51" s="63"/>
      <c r="G51" s="63"/>
      <c r="H51" s="62"/>
      <c r="I51" s="79"/>
      <c r="J51" s="61"/>
      <c r="K51" s="62"/>
      <c r="L51" s="61"/>
      <c r="M51" s="63"/>
      <c r="N51" s="63"/>
      <c r="O51" s="62"/>
      <c r="P51" s="43"/>
    </row>
    <row r="52" ht="19.5" customHeight="1">
      <c r="A52" s="31"/>
      <c r="B52" s="73"/>
      <c r="C52" s="74"/>
      <c r="D52" s="74"/>
      <c r="E52" s="81"/>
      <c r="F52" s="81"/>
      <c r="G52" s="81"/>
      <c r="H52" s="81"/>
      <c r="I52" s="74"/>
      <c r="J52" s="74"/>
      <c r="K52" s="74"/>
      <c r="L52" s="74"/>
      <c r="M52" s="74"/>
      <c r="N52" s="74"/>
      <c r="O52" s="74"/>
      <c r="P52" s="75"/>
    </row>
    <row r="53" ht="15.75" customHeight="1">
      <c r="A53" s="31"/>
      <c r="B53" s="31"/>
      <c r="C53" s="82"/>
      <c r="D53" s="31"/>
      <c r="E53" s="83"/>
      <c r="G53" s="31"/>
      <c r="H53" s="83"/>
      <c r="J53" s="31"/>
      <c r="K53" s="31"/>
      <c r="L53" s="31"/>
      <c r="M53" s="31"/>
      <c r="N53" s="31"/>
      <c r="O53" s="31"/>
      <c r="P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 ht="15.75" customHeight="1">
      <c r="C55" s="28"/>
      <c r="D55" s="28"/>
      <c r="E55" s="28"/>
      <c r="F55" s="29"/>
    </row>
    <row r="56" ht="15.75" customHeight="1">
      <c r="C56" s="28"/>
      <c r="D56" s="28"/>
      <c r="E56" s="28"/>
      <c r="F56" s="29"/>
    </row>
    <row r="57" ht="24.0" customHeight="1">
      <c r="B57" s="30" t="s">
        <v>108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 ht="15.75" customHeight="1">
      <c r="A58" s="31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1"/>
    </row>
    <row r="59" ht="15.75" customHeight="1">
      <c r="B59" s="33"/>
      <c r="C59" s="34"/>
      <c r="D59" s="34"/>
      <c r="E59" s="34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7"/>
    </row>
    <row r="60" ht="15.75" customHeight="1">
      <c r="B60" s="38"/>
      <c r="C60" s="39" t="s">
        <v>1</v>
      </c>
      <c r="D60" s="40"/>
      <c r="E60" s="41" t="s">
        <v>99</v>
      </c>
      <c r="F60" s="6"/>
      <c r="G60" s="40"/>
      <c r="H60" s="41" t="s">
        <v>11</v>
      </c>
      <c r="I60" s="6"/>
      <c r="J60" s="42"/>
      <c r="K60" s="42"/>
      <c r="L60" s="42"/>
      <c r="M60" s="42"/>
      <c r="N60" s="42"/>
      <c r="O60" s="42"/>
      <c r="P60" s="43"/>
    </row>
    <row r="61" ht="15.75" customHeight="1">
      <c r="B61" s="38"/>
      <c r="C61" s="44" t="s">
        <v>32</v>
      </c>
      <c r="D61" s="45"/>
      <c r="E61" s="46" t="str">
        <f>VLOOKUP(C61,'Formato descripción HU'!B8:O68,5,0)</f>
        <v>Administrador</v>
      </c>
      <c r="F61" s="6"/>
      <c r="G61" s="47"/>
      <c r="H61" s="46" t="str">
        <f>VLOOKUP(C61,'Formato descripción HU'!B8:O68,11,0)</f>
        <v>En proceso</v>
      </c>
      <c r="I61" s="6"/>
      <c r="J61" s="47"/>
      <c r="K61" s="42"/>
      <c r="L61" s="42"/>
      <c r="M61" s="42"/>
      <c r="N61" s="42"/>
      <c r="O61" s="42"/>
      <c r="P61" s="43"/>
    </row>
    <row r="62" ht="15.75" customHeight="1">
      <c r="A62" s="31"/>
      <c r="B62" s="38"/>
      <c r="C62" s="48"/>
      <c r="D62" s="45"/>
      <c r="E62" s="49"/>
      <c r="F62" s="49"/>
      <c r="G62" s="47"/>
      <c r="H62" s="49"/>
      <c r="I62" s="49"/>
      <c r="J62" s="47"/>
      <c r="K62" s="49"/>
      <c r="L62" s="49"/>
      <c r="M62" s="42"/>
      <c r="N62" s="49"/>
      <c r="O62" s="49"/>
      <c r="P62" s="43"/>
    </row>
    <row r="63" ht="15.75" customHeight="1">
      <c r="A63" s="31"/>
      <c r="B63" s="38"/>
      <c r="C63" s="39" t="s">
        <v>100</v>
      </c>
      <c r="D63" s="45"/>
      <c r="E63" s="41" t="s">
        <v>10</v>
      </c>
      <c r="F63" s="6"/>
      <c r="G63" s="47"/>
      <c r="H63" s="41" t="s">
        <v>101</v>
      </c>
      <c r="I63" s="6"/>
      <c r="J63" s="47"/>
      <c r="K63" s="49"/>
      <c r="L63" s="49"/>
      <c r="M63" s="42"/>
      <c r="N63" s="49"/>
      <c r="O63" s="49"/>
      <c r="P63" s="43"/>
    </row>
    <row r="64" ht="15.75" customHeight="1">
      <c r="A64" s="31"/>
      <c r="B64" s="38"/>
      <c r="C64" s="50">
        <f>VLOOKUP('Historia de Usuario'!C61,'Formato descripción HU'!B8:O68,8,0)</f>
        <v>6</v>
      </c>
      <c r="D64" s="45"/>
      <c r="E64" s="46" t="str">
        <f>VLOOKUP(C61,'Formato descripción HU'!B8:O68,10,0)</f>
        <v>Alta</v>
      </c>
      <c r="F64" s="6"/>
      <c r="G64" s="47"/>
      <c r="H64" s="46" t="str">
        <f>VLOOKUP(C61,'Formato descripción HU'!B8:O68,7,0)</f>
        <v>Julio Blacio</v>
      </c>
      <c r="I64" s="6"/>
      <c r="J64" s="47"/>
      <c r="K64" s="49"/>
      <c r="L64" s="49"/>
      <c r="M64" s="42"/>
      <c r="N64" s="49"/>
      <c r="O64" s="49"/>
      <c r="P64" s="43"/>
    </row>
    <row r="65" ht="15.75" customHeight="1">
      <c r="A65" s="31"/>
      <c r="B65" s="38"/>
      <c r="C65" s="42"/>
      <c r="D65" s="45"/>
      <c r="E65" s="42"/>
      <c r="F65" s="42"/>
      <c r="G65" s="47"/>
      <c r="H65" s="47"/>
      <c r="I65" s="42"/>
      <c r="J65" s="42"/>
      <c r="K65" s="42"/>
      <c r="L65" s="42"/>
      <c r="M65" s="42"/>
      <c r="N65" s="42"/>
      <c r="O65" s="42"/>
      <c r="P65" s="43"/>
    </row>
    <row r="66" ht="15.75" customHeight="1">
      <c r="A66" s="31"/>
      <c r="B66" s="38"/>
      <c r="C66" s="51" t="s">
        <v>102</v>
      </c>
      <c r="D66" s="52" t="str">
        <f>VLOOKUP(C61,'Formato descripción HU'!B8:O68,3,0)</f>
        <v>Administrar cuentas y roles del sistema</v>
      </c>
      <c r="E66" s="53"/>
      <c r="F66" s="54"/>
      <c r="G66" s="51" t="s">
        <v>103</v>
      </c>
      <c r="H66" s="52" t="str">
        <f>VLOOKUP(C61,'Formato descripción HU'!B8:O68,4,0)</f>
        <v>Controlar acceso y permisos</v>
      </c>
      <c r="I66" s="55"/>
      <c r="J66" s="53"/>
      <c r="K66" s="54"/>
      <c r="L66" s="51" t="s">
        <v>104</v>
      </c>
      <c r="M66" s="56" t="str">
        <f>VLOOKUP(C61,'Formato descripción HU'!B8:O68,6,0)</f>
        <v>El sistema debe proporcionar mecanismos para administrar las cuentas de administradores, entrenadores y atletas, permitiendo registrar, modificar, desactivar o reactivar usuarios, además de asignar roles y permisos específicos según las funciones que desempeñan dentro del gimnasio.</v>
      </c>
      <c r="N66" s="55"/>
      <c r="O66" s="53"/>
      <c r="P66" s="43"/>
    </row>
    <row r="67" ht="9.75" customHeight="1">
      <c r="A67" s="31"/>
      <c r="B67" s="38"/>
      <c r="C67" s="57"/>
      <c r="D67" s="58"/>
      <c r="E67" s="59"/>
      <c r="F67" s="54"/>
      <c r="G67" s="57"/>
      <c r="H67" s="58"/>
      <c r="J67" s="59"/>
      <c r="K67" s="54"/>
      <c r="L67" s="57"/>
      <c r="M67" s="58"/>
      <c r="O67" s="59"/>
      <c r="P67" s="43"/>
    </row>
    <row r="68" ht="27.0" customHeight="1">
      <c r="A68" s="31"/>
      <c r="B68" s="38"/>
      <c r="C68" s="60"/>
      <c r="D68" s="61"/>
      <c r="E68" s="62"/>
      <c r="F68" s="54"/>
      <c r="G68" s="60"/>
      <c r="H68" s="61"/>
      <c r="I68" s="63"/>
      <c r="J68" s="62"/>
      <c r="K68" s="54"/>
      <c r="L68" s="60"/>
      <c r="M68" s="61"/>
      <c r="N68" s="63"/>
      <c r="O68" s="62"/>
      <c r="P68" s="43"/>
    </row>
    <row r="69" ht="15.75" customHeight="1">
      <c r="A69" s="31"/>
      <c r="B69" s="38"/>
      <c r="C69" s="42"/>
      <c r="D69" s="42"/>
      <c r="E69" s="42"/>
      <c r="F69" s="42"/>
      <c r="G69" s="47"/>
      <c r="H69" s="47"/>
      <c r="I69" s="47"/>
      <c r="J69" s="42"/>
      <c r="K69" s="42"/>
      <c r="L69" s="42"/>
      <c r="M69" s="42"/>
      <c r="N69" s="42"/>
      <c r="O69" s="42"/>
      <c r="P69" s="43"/>
    </row>
    <row r="70" ht="15.75" customHeight="1">
      <c r="B70" s="38"/>
      <c r="C70" s="64" t="s">
        <v>105</v>
      </c>
      <c r="D70" s="53"/>
      <c r="E70" s="65" t="str">
        <f>VLOOKUP(C61,'Formato descripción HU'!B8:O68,14,0)</f>
        <v>Gestión de usuarios</v>
      </c>
      <c r="F70" s="66"/>
      <c r="G70" s="66"/>
      <c r="H70" s="66"/>
      <c r="I70" s="66"/>
      <c r="J70" s="66"/>
      <c r="K70" s="66"/>
      <c r="L70" s="66"/>
      <c r="M70" s="66"/>
      <c r="N70" s="66"/>
      <c r="O70" s="67"/>
      <c r="P70" s="43"/>
    </row>
    <row r="71" ht="15.75" customHeight="1">
      <c r="B71" s="38"/>
      <c r="C71" s="61"/>
      <c r="D71" s="62"/>
      <c r="E71" s="68"/>
      <c r="F71" s="69"/>
      <c r="G71" s="69"/>
      <c r="H71" s="69"/>
      <c r="I71" s="69"/>
      <c r="J71" s="69"/>
      <c r="K71" s="69"/>
      <c r="L71" s="69"/>
      <c r="M71" s="69"/>
      <c r="N71" s="69"/>
      <c r="O71" s="70"/>
      <c r="P71" s="43"/>
    </row>
    <row r="72" ht="15.75" customHeight="1">
      <c r="B72" s="38"/>
      <c r="C72" s="42"/>
      <c r="D72" s="42"/>
      <c r="E72" s="78"/>
      <c r="F72" s="78"/>
      <c r="G72" s="78"/>
      <c r="H72" s="78"/>
      <c r="I72" s="42"/>
      <c r="J72" s="42"/>
      <c r="K72" s="42"/>
      <c r="L72" s="42"/>
      <c r="M72" s="42"/>
      <c r="N72" s="42"/>
      <c r="O72" s="42"/>
      <c r="P72" s="43"/>
    </row>
    <row r="73" ht="15.75" customHeight="1">
      <c r="A73" s="31"/>
      <c r="B73" s="38"/>
      <c r="C73" s="71" t="s">
        <v>106</v>
      </c>
      <c r="D73" s="53"/>
      <c r="E73" s="72" t="str">
        <f>VLOOKUP(C61,'Formato descripción HU'!B8:O68,12,0)</f>
        <v>Verificar que se puedan crear, editar y desactivar usuarios. Comprobar que los roles y permisos asignados restrinjan o habiliten correctamente el acceso a las funcionalidades correspondientes, garantizando la seguridad y control de acceso del sistema.</v>
      </c>
      <c r="F73" s="55"/>
      <c r="G73" s="55"/>
      <c r="H73" s="53"/>
      <c r="I73" s="79"/>
      <c r="J73" s="71" t="s">
        <v>13</v>
      </c>
      <c r="K73" s="53"/>
      <c r="L73" s="52" t="str">
        <f>VLOOKUP(C61,'Formato descripción HU'!B8:O68,13,0)</f>
        <v/>
      </c>
      <c r="M73" s="55"/>
      <c r="N73" s="55"/>
      <c r="O73" s="53"/>
      <c r="P73" s="43"/>
    </row>
    <row r="74" ht="15.75" customHeight="1">
      <c r="A74" s="31"/>
      <c r="B74" s="38"/>
      <c r="C74" s="58"/>
      <c r="D74" s="59"/>
      <c r="E74" s="58"/>
      <c r="H74" s="59"/>
      <c r="I74" s="79"/>
      <c r="J74" s="58"/>
      <c r="K74" s="59"/>
      <c r="L74" s="58"/>
      <c r="O74" s="59"/>
      <c r="P74" s="43"/>
    </row>
    <row r="75" ht="39.0" customHeight="1">
      <c r="A75" s="31"/>
      <c r="B75" s="38"/>
      <c r="C75" s="61"/>
      <c r="D75" s="62"/>
      <c r="E75" s="61"/>
      <c r="F75" s="63"/>
      <c r="G75" s="63"/>
      <c r="H75" s="62"/>
      <c r="I75" s="79"/>
      <c r="J75" s="61"/>
      <c r="K75" s="62"/>
      <c r="L75" s="61"/>
      <c r="M75" s="63"/>
      <c r="N75" s="63"/>
      <c r="O75" s="62"/>
      <c r="P75" s="43"/>
    </row>
    <row r="76" ht="15.75" customHeight="1">
      <c r="A76" s="31"/>
      <c r="B76" s="73"/>
      <c r="C76" s="74"/>
      <c r="D76" s="74"/>
      <c r="E76" s="81"/>
      <c r="F76" s="81"/>
      <c r="G76" s="81"/>
      <c r="H76" s="81"/>
      <c r="I76" s="74"/>
      <c r="J76" s="74"/>
      <c r="K76" s="74"/>
      <c r="L76" s="74"/>
      <c r="M76" s="74"/>
      <c r="N76" s="74"/>
      <c r="O76" s="74"/>
      <c r="P76" s="75"/>
    </row>
    <row r="77" ht="15.75" customHeight="1">
      <c r="A77" s="31"/>
      <c r="B77" s="31"/>
      <c r="C77" s="82"/>
      <c r="D77" s="31"/>
      <c r="E77" s="83"/>
      <c r="G77" s="31"/>
      <c r="H77" s="83"/>
      <c r="J77" s="31"/>
      <c r="K77" s="31"/>
      <c r="L77" s="31"/>
      <c r="M77" s="31"/>
      <c r="N77" s="31"/>
      <c r="O77" s="31"/>
      <c r="P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</row>
    <row r="79" ht="15.75" customHeight="1">
      <c r="C79" s="28"/>
      <c r="D79" s="28"/>
      <c r="E79" s="28"/>
      <c r="F79" s="29"/>
    </row>
    <row r="80" ht="15.75" customHeight="1">
      <c r="C80" s="28"/>
      <c r="D80" s="28"/>
      <c r="E80" s="28"/>
      <c r="F80" s="29"/>
    </row>
    <row r="81" ht="30.0" customHeight="1">
      <c r="B81" s="30" t="s">
        <v>109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2" ht="15.75" customHeight="1">
      <c r="A82" s="31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1"/>
    </row>
    <row r="83" ht="15.75" customHeight="1">
      <c r="B83" s="33"/>
      <c r="C83" s="34"/>
      <c r="D83" s="34"/>
      <c r="E83" s="34"/>
      <c r="F83" s="35"/>
      <c r="G83" s="36"/>
      <c r="H83" s="36"/>
      <c r="I83" s="36"/>
      <c r="J83" s="36"/>
      <c r="K83" s="36"/>
      <c r="L83" s="36"/>
      <c r="M83" s="36"/>
      <c r="N83" s="36"/>
      <c r="O83" s="36"/>
      <c r="P83" s="37"/>
    </row>
    <row r="84" ht="15.75" customHeight="1">
      <c r="B84" s="38"/>
      <c r="C84" s="39" t="s">
        <v>1</v>
      </c>
      <c r="D84" s="40"/>
      <c r="E84" s="41" t="s">
        <v>99</v>
      </c>
      <c r="F84" s="6"/>
      <c r="G84" s="40"/>
      <c r="H84" s="41" t="s">
        <v>11</v>
      </c>
      <c r="I84" s="6"/>
      <c r="J84" s="42"/>
      <c r="K84" s="42"/>
      <c r="L84" s="42"/>
      <c r="M84" s="42"/>
      <c r="N84" s="42"/>
      <c r="O84" s="42"/>
      <c r="P84" s="43"/>
    </row>
    <row r="85" ht="15.75" customHeight="1">
      <c r="B85" s="38"/>
      <c r="C85" s="44" t="s">
        <v>39</v>
      </c>
      <c r="D85" s="45"/>
      <c r="E85" s="46" t="str">
        <f>VLOOKUP(C85,'Formato descripción HU'!B9:O92,5,0)</f>
        <v>Entrenador</v>
      </c>
      <c r="F85" s="6"/>
      <c r="G85" s="47"/>
      <c r="H85" s="46" t="str">
        <f>VLOOKUP(C85,'Formato descripción HU'!B9:O92,11,0)</f>
        <v>En proceso</v>
      </c>
      <c r="I85" s="6"/>
      <c r="J85" s="47"/>
      <c r="K85" s="42"/>
      <c r="L85" s="42"/>
      <c r="M85" s="42"/>
      <c r="N85" s="42"/>
      <c r="O85" s="42"/>
      <c r="P85" s="43"/>
    </row>
    <row r="86" ht="15.75" customHeight="1">
      <c r="A86" s="31"/>
      <c r="B86" s="38"/>
      <c r="C86" s="48"/>
      <c r="D86" s="45"/>
      <c r="E86" s="49"/>
      <c r="F86" s="49"/>
      <c r="G86" s="47"/>
      <c r="H86" s="49"/>
      <c r="I86" s="49"/>
      <c r="J86" s="47"/>
      <c r="K86" s="49"/>
      <c r="L86" s="49"/>
      <c r="M86" s="42"/>
      <c r="N86" s="49"/>
      <c r="O86" s="49"/>
      <c r="P86" s="43"/>
    </row>
    <row r="87">
      <c r="A87" s="31"/>
      <c r="B87" s="38"/>
      <c r="C87" s="39" t="s">
        <v>100</v>
      </c>
      <c r="D87" s="45"/>
      <c r="E87" s="41" t="s">
        <v>10</v>
      </c>
      <c r="F87" s="6"/>
      <c r="G87" s="47"/>
      <c r="H87" s="41" t="s">
        <v>101</v>
      </c>
      <c r="I87" s="6"/>
      <c r="J87" s="47"/>
      <c r="K87" s="49"/>
      <c r="L87" s="49"/>
      <c r="M87" s="42"/>
      <c r="N87" s="49"/>
      <c r="O87" s="49"/>
      <c r="P87" s="43"/>
    </row>
    <row r="88" ht="15.75" customHeight="1">
      <c r="A88" s="31"/>
      <c r="B88" s="38"/>
      <c r="C88" s="50">
        <f>VLOOKUP('Historia de Usuario'!C85,'Formato descripción HU'!B9:O92,8,0)</f>
        <v>8</v>
      </c>
      <c r="D88" s="45"/>
      <c r="E88" s="46" t="str">
        <f>VLOOKUP(C85,'Formato descripción HU'!B9:O92,10,0)</f>
        <v>Alta</v>
      </c>
      <c r="F88" s="6"/>
      <c r="G88" s="47"/>
      <c r="H88" s="46" t="str">
        <f>VLOOKUP(C85,'Formato descripción HU'!B9:O92,7,0)</f>
        <v>Kenned Sigcha</v>
      </c>
      <c r="I88" s="6"/>
      <c r="J88" s="47"/>
      <c r="K88" s="49"/>
      <c r="L88" s="49"/>
      <c r="M88" s="42"/>
      <c r="N88" s="49"/>
      <c r="O88" s="49"/>
      <c r="P88" s="43"/>
    </row>
    <row r="89" ht="15.75" customHeight="1">
      <c r="A89" s="31"/>
      <c r="B89" s="38"/>
      <c r="C89" s="42"/>
      <c r="D89" s="45"/>
      <c r="E89" s="42"/>
      <c r="F89" s="42"/>
      <c r="G89" s="47"/>
      <c r="H89" s="47"/>
      <c r="I89" s="42"/>
      <c r="J89" s="42"/>
      <c r="K89" s="42"/>
      <c r="L89" s="42"/>
      <c r="M89" s="42"/>
      <c r="N89" s="42"/>
      <c r="O89" s="42"/>
      <c r="P89" s="43"/>
    </row>
    <row r="90" ht="15.75" customHeight="1">
      <c r="A90" s="31"/>
      <c r="B90" s="38"/>
      <c r="C90" s="51" t="s">
        <v>102</v>
      </c>
      <c r="D90" s="52" t="str">
        <f>VLOOKUP(C85,'Formato descripción HU'!B9:O92,3,0)</f>
        <v>Monitorear rendimiento de los atletas</v>
      </c>
      <c r="E90" s="53"/>
      <c r="F90" s="54"/>
      <c r="G90" s="51" t="s">
        <v>103</v>
      </c>
      <c r="H90" s="52" t="str">
        <f>VLOOKUP(C85,'Formato descripción HU'!B9:O92,4,0)</f>
        <v>Mejorar el entrenamiento y evaluación</v>
      </c>
      <c r="I90" s="55"/>
      <c r="J90" s="53"/>
      <c r="K90" s="54"/>
      <c r="L90" s="51" t="s">
        <v>104</v>
      </c>
      <c r="M90" s="56" t="str">
        <f>VLOOKUP(C85,'Formato descripción HU'!B9:O92,6,0)</f>
        <v>Permitir que los entrenadores y atletas registren, consulten y analizen los resultados obtenidos en los entrenamientos, incluyendo métricas como tiempos, repeticiones, pesos levantados y resultados de WODs, facilitando el monitoreo de la evolución deportiva y la toma de decisiones para mejorar el rendimiento.</v>
      </c>
      <c r="N90" s="55"/>
      <c r="O90" s="53"/>
      <c r="P90" s="43"/>
    </row>
    <row r="91" ht="15.75" customHeight="1">
      <c r="A91" s="31"/>
      <c r="B91" s="38"/>
      <c r="C91" s="57"/>
      <c r="D91" s="58"/>
      <c r="E91" s="59"/>
      <c r="F91" s="54"/>
      <c r="G91" s="57"/>
      <c r="H91" s="58"/>
      <c r="J91" s="59"/>
      <c r="K91" s="54"/>
      <c r="L91" s="57"/>
      <c r="M91" s="58"/>
      <c r="O91" s="59"/>
      <c r="P91" s="43"/>
    </row>
    <row r="92" ht="15.75" customHeight="1">
      <c r="A92" s="31"/>
      <c r="B92" s="38"/>
      <c r="C92" s="60"/>
      <c r="D92" s="61"/>
      <c r="E92" s="62"/>
      <c r="F92" s="54"/>
      <c r="G92" s="60"/>
      <c r="H92" s="61"/>
      <c r="I92" s="63"/>
      <c r="J92" s="62"/>
      <c r="K92" s="54"/>
      <c r="L92" s="60"/>
      <c r="M92" s="61"/>
      <c r="N92" s="63"/>
      <c r="O92" s="62"/>
      <c r="P92" s="43"/>
    </row>
    <row r="93" ht="15.75" customHeight="1">
      <c r="A93" s="31"/>
      <c r="B93" s="38"/>
      <c r="C93" s="42"/>
      <c r="D93" s="42"/>
      <c r="E93" s="42"/>
      <c r="F93" s="42"/>
      <c r="G93" s="47"/>
      <c r="H93" s="47"/>
      <c r="I93" s="47"/>
      <c r="J93" s="42"/>
      <c r="K93" s="42"/>
      <c r="L93" s="42"/>
      <c r="M93" s="42"/>
      <c r="N93" s="42"/>
      <c r="O93" s="42"/>
      <c r="P93" s="43"/>
    </row>
    <row r="94" ht="15.75" customHeight="1">
      <c r="B94" s="38"/>
      <c r="C94" s="64" t="s">
        <v>105</v>
      </c>
      <c r="D94" s="53"/>
      <c r="E94" s="65" t="str">
        <f>VLOOKUP(C85,'Formato descripción HU'!B9:O92,14,0)</f>
        <v>Seguimiento del progreso deportivo</v>
      </c>
      <c r="F94" s="66"/>
      <c r="G94" s="66"/>
      <c r="H94" s="66"/>
      <c r="I94" s="66"/>
      <c r="J94" s="66"/>
      <c r="K94" s="66"/>
      <c r="L94" s="66"/>
      <c r="M94" s="66"/>
      <c r="N94" s="66"/>
      <c r="O94" s="67"/>
      <c r="P94" s="43"/>
    </row>
    <row r="95" ht="15.75" customHeight="1">
      <c r="B95" s="38"/>
      <c r="C95" s="61"/>
      <c r="D95" s="62"/>
      <c r="E95" s="68"/>
      <c r="F95" s="69"/>
      <c r="G95" s="69"/>
      <c r="H95" s="69"/>
      <c r="I95" s="69"/>
      <c r="J95" s="69"/>
      <c r="K95" s="69"/>
      <c r="L95" s="69"/>
      <c r="M95" s="69"/>
      <c r="N95" s="69"/>
      <c r="O95" s="70"/>
      <c r="P95" s="43"/>
    </row>
    <row r="96" ht="15.75" customHeight="1">
      <c r="B96" s="38"/>
      <c r="C96" s="42"/>
      <c r="D96" s="42"/>
      <c r="E96" s="78"/>
      <c r="F96" s="78"/>
      <c r="G96" s="78"/>
      <c r="H96" s="78"/>
      <c r="I96" s="42"/>
      <c r="J96" s="42"/>
      <c r="K96" s="42"/>
      <c r="L96" s="42"/>
      <c r="M96" s="42"/>
      <c r="N96" s="42"/>
      <c r="O96" s="42"/>
      <c r="P96" s="43"/>
    </row>
    <row r="97" ht="15.75" customHeight="1">
      <c r="A97" s="31"/>
      <c r="B97" s="38"/>
      <c r="C97" s="71" t="s">
        <v>106</v>
      </c>
      <c r="D97" s="53"/>
      <c r="E97" s="72" t="str">
        <f>VLOOKUP(C85,'Formato descripción HU'!B9:O92,12,0)</f>
        <v>Verificar el registro de resultados de entrenamiento, la consulta del historial de progreso, la visualización de métricas almacenadas y la generación de información que permita analizar la evolución del rendimiento de cada atleta a lo largo del tiempo.</v>
      </c>
      <c r="F97" s="55"/>
      <c r="G97" s="55"/>
      <c r="H97" s="53"/>
      <c r="I97" s="79"/>
      <c r="J97" s="71" t="s">
        <v>13</v>
      </c>
      <c r="K97" s="53"/>
      <c r="L97" s="52" t="str">
        <f>VLOOKUP(C85,'Formato descripción HU'!B9:O92,13,0)</f>
        <v/>
      </c>
      <c r="M97" s="55"/>
      <c r="N97" s="55"/>
      <c r="O97" s="53"/>
      <c r="P97" s="43"/>
    </row>
    <row r="98" ht="15.75" customHeight="1">
      <c r="A98" s="31"/>
      <c r="B98" s="38"/>
      <c r="C98" s="58"/>
      <c r="D98" s="59"/>
      <c r="E98" s="58"/>
      <c r="H98" s="59"/>
      <c r="I98" s="79"/>
      <c r="J98" s="58"/>
      <c r="K98" s="59"/>
      <c r="L98" s="58"/>
      <c r="O98" s="59"/>
      <c r="P98" s="43"/>
    </row>
    <row r="99" ht="39.75" customHeight="1">
      <c r="A99" s="31"/>
      <c r="B99" s="38"/>
      <c r="C99" s="61"/>
      <c r="D99" s="62"/>
      <c r="E99" s="61"/>
      <c r="F99" s="63"/>
      <c r="G99" s="63"/>
      <c r="H99" s="62"/>
      <c r="I99" s="79"/>
      <c r="J99" s="61"/>
      <c r="K99" s="62"/>
      <c r="L99" s="61"/>
      <c r="M99" s="63"/>
      <c r="N99" s="63"/>
      <c r="O99" s="62"/>
      <c r="P99" s="43"/>
    </row>
    <row r="100" ht="15.75" customHeight="1">
      <c r="A100" s="31"/>
      <c r="B100" s="73"/>
      <c r="C100" s="74"/>
      <c r="D100" s="74"/>
      <c r="E100" s="81"/>
      <c r="F100" s="81"/>
      <c r="G100" s="81"/>
      <c r="H100" s="81"/>
      <c r="I100" s="74"/>
      <c r="J100" s="74"/>
      <c r="K100" s="74"/>
      <c r="L100" s="74"/>
      <c r="M100" s="74"/>
      <c r="N100" s="74"/>
      <c r="O100" s="74"/>
      <c r="P100" s="75"/>
    </row>
    <row r="101" ht="15.75" customHeight="1">
      <c r="A101" s="31"/>
      <c r="B101" s="31"/>
      <c r="C101" s="82"/>
      <c r="D101" s="31"/>
      <c r="E101" s="83"/>
      <c r="G101" s="31"/>
      <c r="H101" s="83"/>
      <c r="J101" s="31"/>
      <c r="K101" s="31"/>
      <c r="L101" s="31"/>
      <c r="M101" s="31"/>
      <c r="N101" s="31"/>
      <c r="O101" s="31"/>
      <c r="P101" s="31"/>
    </row>
    <row r="102" ht="15.75" customHeight="1">
      <c r="A102" s="31"/>
      <c r="B102" s="31"/>
      <c r="C102" s="84"/>
      <c r="D102" s="84"/>
      <c r="E102" s="85"/>
      <c r="F102" s="85"/>
      <c r="G102" s="85"/>
      <c r="H102" s="85"/>
      <c r="I102" s="31"/>
      <c r="J102" s="84"/>
      <c r="K102" s="84"/>
      <c r="L102" s="31"/>
      <c r="M102" s="31"/>
      <c r="N102" s="31"/>
      <c r="O102" s="31"/>
      <c r="P102" s="31"/>
    </row>
    <row r="103" ht="15.75" customHeight="1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</row>
    <row r="104" ht="15.75" customHeight="1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</row>
    <row r="105" ht="15.75" customHeight="1">
      <c r="B105" s="8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G127" s="77"/>
      <c r="H127" s="87"/>
    </row>
    <row r="128" ht="15.75" customHeight="1">
      <c r="G128" s="77"/>
      <c r="H128" s="88"/>
    </row>
    <row r="129" ht="15.75" customHeight="1">
      <c r="G129" s="77"/>
      <c r="H129" s="89"/>
    </row>
    <row r="130" ht="15.75" customHeight="1">
      <c r="G130" s="77"/>
      <c r="H130" s="87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91">
    <mergeCell ref="L66:L68"/>
    <mergeCell ref="M66:O68"/>
    <mergeCell ref="E63:F63"/>
    <mergeCell ref="E64:F64"/>
    <mergeCell ref="H64:I64"/>
    <mergeCell ref="C66:C68"/>
    <mergeCell ref="D66:E68"/>
    <mergeCell ref="G66:G68"/>
    <mergeCell ref="H66:J68"/>
    <mergeCell ref="C70:D71"/>
    <mergeCell ref="E70:O71"/>
    <mergeCell ref="C73:D75"/>
    <mergeCell ref="E73:H75"/>
    <mergeCell ref="J73:K75"/>
    <mergeCell ref="L73:O75"/>
    <mergeCell ref="E77:F77"/>
    <mergeCell ref="H77:I77"/>
    <mergeCell ref="B81:P81"/>
    <mergeCell ref="E84:F84"/>
    <mergeCell ref="H84:I84"/>
    <mergeCell ref="E85:F85"/>
    <mergeCell ref="H85:I85"/>
    <mergeCell ref="H87:I87"/>
    <mergeCell ref="L90:L92"/>
    <mergeCell ref="M90:O92"/>
    <mergeCell ref="E87:F87"/>
    <mergeCell ref="E88:F88"/>
    <mergeCell ref="H88:I88"/>
    <mergeCell ref="C90:C92"/>
    <mergeCell ref="D90:E92"/>
    <mergeCell ref="G90:G92"/>
    <mergeCell ref="H90:J92"/>
    <mergeCell ref="H101:I101"/>
    <mergeCell ref="B105:P105"/>
    <mergeCell ref="C94:D95"/>
    <mergeCell ref="E94:O95"/>
    <mergeCell ref="C97:D99"/>
    <mergeCell ref="E97:H99"/>
    <mergeCell ref="J97:K99"/>
    <mergeCell ref="L97:O99"/>
    <mergeCell ref="E101:F101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33:P33"/>
    <mergeCell ref="E36:F36"/>
    <mergeCell ref="H36:I36"/>
    <mergeCell ref="E37:F37"/>
    <mergeCell ref="H37:I37"/>
    <mergeCell ref="E39:F39"/>
    <mergeCell ref="H39:I39"/>
    <mergeCell ref="H40:I40"/>
    <mergeCell ref="E40:F40"/>
    <mergeCell ref="C42:C44"/>
    <mergeCell ref="D42:E44"/>
    <mergeCell ref="G42:G44"/>
    <mergeCell ref="H42:J44"/>
    <mergeCell ref="L42:L44"/>
    <mergeCell ref="M42:O44"/>
    <mergeCell ref="C46:D47"/>
    <mergeCell ref="E46:O47"/>
    <mergeCell ref="C49:D51"/>
    <mergeCell ref="E49:H51"/>
    <mergeCell ref="J49:K51"/>
    <mergeCell ref="L49:O51"/>
    <mergeCell ref="E53:F53"/>
    <mergeCell ref="H53:I53"/>
    <mergeCell ref="B57:P57"/>
    <mergeCell ref="E60:F60"/>
    <mergeCell ref="H60:I60"/>
    <mergeCell ref="E61:F61"/>
    <mergeCell ref="H61:I61"/>
    <mergeCell ref="H63:I63"/>
  </mergeCells>
  <conditionalFormatting sqref="H10:I11 I35 J35:J36 H37:I38 I59 J59:J60 H61:I62 I83 J83:J84 H85:I86">
    <cfRule type="cellIs" dxfId="0" priority="1" operator="equal">
      <formula>"Atrasado"</formula>
    </cfRule>
  </conditionalFormatting>
  <conditionalFormatting sqref="H10:I11 I35 J35:J36 H37:I38 I59 J59:J60 H61:I62 I83 J83:J84 H85:I86">
    <cfRule type="cellIs" dxfId="1" priority="2" operator="equal">
      <formula>"Terminado"</formula>
    </cfRule>
  </conditionalFormatting>
  <conditionalFormatting sqref="H10:I11 I35 J35:J36 H37:I38 I59 J59:J60 H61:I62 I83 J83:J84 H85:I86">
    <cfRule type="cellIs" dxfId="2" priority="3" operator="equal">
      <formula>"En proceso"</formula>
    </cfRule>
  </conditionalFormatting>
  <conditionalFormatting sqref="H10:I11 I35 J35:J36 H37:I38 I59 J59:J60 H61:I62 I83 J83:J84 H85:I86">
    <cfRule type="cellIs" dxfId="1" priority="4" operator="equal">
      <formula>"No Iniciado"</formula>
    </cfRule>
  </conditionalFormatting>
  <dataValidations>
    <dataValidation type="list" allowBlank="1" showErrorMessage="1" sqref="C10:C11 C37:C38 C61:C62 C85:C86 H128:H129">
      <formula1>'Formato descripción HU'!$B$6:$B$17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2019-10-21T15:37:14Z</dcterms:created>
  <dc:creator>JR-HP</dc:creator>
</cp:coreProperties>
</file>